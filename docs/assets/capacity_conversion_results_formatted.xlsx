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claire_welsh_mlcsu_nhs_uk/Documents/Documents/Strategy Unit/NHP/Capacity Conversion/"/>
    </mc:Choice>
  </mc:AlternateContent>
  <xr:revisionPtr revIDLastSave="57" documentId="8_{2A620748-7BC9-4AC6-81C4-29DAD87E815D}" xr6:coauthVersionLast="47" xr6:coauthVersionMax="47" xr10:uidLastSave="{3A7F91AB-3255-4CEF-B59D-FFDE4B5B7FC5}"/>
  <bookViews>
    <workbookView xWindow="22932" yWindow="-108" windowWidth="30936" windowHeight="16776" firstSheet="2" activeTab="5" xr2:uid="{00000000-000D-0000-FFFF-FFFF00000000}"/>
  </bookViews>
  <sheets>
    <sheet name="cover sheet" sheetId="21" r:id="rId1"/>
    <sheet name="metadata" sheetId="1" r:id="rId2"/>
    <sheet name="assumptions" sheetId="2" r:id="rId3"/>
    <sheet name="baseline_year_activity_counts" sheetId="22" r:id="rId4"/>
    <sheet name="predicted_activity_volumes" sheetId="23" r:id="rId5"/>
    <sheet name="estimated_capacity_needs" sheetId="2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4" l="1"/>
  <c r="C21" i="24"/>
  <c r="D21" i="24"/>
  <c r="B29" i="24"/>
  <c r="C29" i="24"/>
  <c r="D29" i="24"/>
  <c r="B30" i="24"/>
  <c r="C30" i="24"/>
  <c r="D30" i="24"/>
  <c r="B6" i="24"/>
  <c r="C6" i="24"/>
  <c r="D6" i="24"/>
  <c r="B8" i="24"/>
  <c r="C8" i="24"/>
  <c r="D8" i="24"/>
  <c r="B15" i="24"/>
  <c r="C15" i="24"/>
  <c r="D15" i="24"/>
  <c r="B16" i="24"/>
  <c r="C16" i="24"/>
  <c r="D16" i="24"/>
  <c r="B39" i="24"/>
  <c r="C39" i="24"/>
  <c r="D39" i="24"/>
  <c r="B40" i="24"/>
  <c r="C40" i="24"/>
  <c r="D40" i="24"/>
  <c r="B7" i="24"/>
  <c r="C7" i="24"/>
  <c r="D7" i="24"/>
  <c r="B12" i="24"/>
  <c r="C12" i="24"/>
  <c r="D12" i="24"/>
  <c r="B17" i="24"/>
  <c r="C17" i="24"/>
  <c r="D17" i="24"/>
  <c r="B18" i="24"/>
  <c r="C18" i="24"/>
  <c r="D18" i="24"/>
  <c r="B19" i="24"/>
  <c r="C19" i="24"/>
  <c r="D19" i="24"/>
  <c r="B22" i="24"/>
  <c r="C22" i="24"/>
  <c r="D22" i="24"/>
  <c r="B36" i="24"/>
  <c r="C36" i="24"/>
  <c r="D36" i="24"/>
  <c r="B38" i="24"/>
  <c r="C38" i="24"/>
  <c r="D38" i="24"/>
  <c r="B13" i="24"/>
  <c r="C13" i="24"/>
  <c r="D13" i="24"/>
  <c r="B24" i="24"/>
  <c r="C24" i="24"/>
  <c r="D24" i="24"/>
  <c r="B25" i="24"/>
  <c r="C25" i="24"/>
  <c r="D25" i="24"/>
  <c r="B26" i="24"/>
  <c r="C26" i="24"/>
  <c r="D26" i="24"/>
  <c r="B27" i="24"/>
  <c r="C27" i="24"/>
  <c r="D27" i="24"/>
  <c r="B28" i="24"/>
  <c r="C28" i="24"/>
  <c r="D28" i="24"/>
  <c r="B2" i="24"/>
  <c r="C2" i="24"/>
  <c r="D2" i="24"/>
  <c r="B3" i="24"/>
  <c r="C3" i="24"/>
  <c r="D3" i="24"/>
  <c r="B5" i="24"/>
  <c r="C5" i="24"/>
  <c r="D5" i="24"/>
  <c r="B9" i="24"/>
  <c r="C9" i="24"/>
  <c r="D9" i="24"/>
  <c r="B31" i="24"/>
  <c r="C31" i="24"/>
  <c r="D31" i="24"/>
  <c r="B34" i="24"/>
  <c r="C34" i="24"/>
  <c r="D34" i="24"/>
  <c r="B35" i="24"/>
  <c r="C35" i="24"/>
  <c r="D35" i="24"/>
  <c r="B4" i="24"/>
  <c r="C4" i="24"/>
  <c r="D4" i="24"/>
  <c r="B10" i="24"/>
  <c r="C10" i="24"/>
  <c r="D10" i="24"/>
  <c r="B11" i="24"/>
  <c r="C11" i="24"/>
  <c r="D11" i="24"/>
  <c r="B14" i="24"/>
  <c r="C14" i="24"/>
  <c r="D14" i="24"/>
  <c r="B23" i="24"/>
  <c r="C23" i="24"/>
  <c r="D23" i="24"/>
  <c r="B32" i="24"/>
  <c r="C32" i="24"/>
  <c r="D32" i="24"/>
  <c r="B33" i="24"/>
  <c r="C33" i="24"/>
  <c r="D33" i="24"/>
  <c r="B37" i="24"/>
  <c r="C37" i="24"/>
  <c r="D37" i="24"/>
  <c r="D20" i="24"/>
  <c r="C20" i="24"/>
  <c r="B20" i="24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D2" i="23"/>
  <c r="C2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2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2" i="22"/>
</calcChain>
</file>

<file path=xl/sharedStrings.xml><?xml version="1.0" encoding="utf-8"?>
<sst xmlns="http://schemas.openxmlformats.org/spreadsheetml/2006/main" count="647" uniqueCount="245">
  <si>
    <t>v5.1</t>
  </si>
  <si>
    <t>20260612_103631</t>
  </si>
  <si>
    <t>dataset</t>
  </si>
  <si>
    <t>capacity_model_version</t>
  </si>
  <si>
    <t>dev</t>
  </si>
  <si>
    <t>ip_sites</t>
  </si>
  <si>
    <t>ALL</t>
  </si>
  <si>
    <t>op_sites</t>
  </si>
  <si>
    <t>aae_sites</t>
  </si>
  <si>
    <t>capacity_conversion_runtime</t>
  </si>
  <si>
    <t>20260825_112705</t>
  </si>
  <si>
    <t>AE_ADULT_MAJOR_LOS</t>
  </si>
  <si>
    <t>AE_ADULT_MAJOR_UTIL</t>
  </si>
  <si>
    <t>AE_ADULT_MINOR_LOS</t>
  </si>
  <si>
    <t>AE_ADULT_MINOR_UTIL</t>
  </si>
  <si>
    <t>AE_BAYS_ANNUAL_OPERATIONAL_HOURS</t>
  </si>
  <si>
    <t>AE_BEDS_ANNUAL_OPERATIONAL_HOURS</t>
  </si>
  <si>
    <t>AE_CHILD_MAJOR_LOS</t>
  </si>
  <si>
    <t>AE_CHILD_MAJOR_UTIL</t>
  </si>
  <si>
    <t>AE_CHILD_MINOR_LOS</t>
  </si>
  <si>
    <t>AE_CHILD_MINOR_UTIL</t>
  </si>
  <si>
    <t>AE_RESUS_LOS</t>
  </si>
  <si>
    <t>AE_RESUS_UTIL</t>
  </si>
  <si>
    <t>CRITICAL_CARE_ADULT_OCC</t>
  </si>
  <si>
    <t>CRITICAL_CARE_ADULT_PERCENT_OVERNIGHT_BED_DAYS</t>
  </si>
  <si>
    <t>CRITICAL_CARE_ANNUAL_OPERATIONAL_DAYS</t>
  </si>
  <si>
    <t>CRITICAL_CARE_NEONATAL_OCC</t>
  </si>
  <si>
    <t>CRITICAL_CARE_NEONATAL_PERCENT_OVERNIGHT_BED_DAYS</t>
  </si>
  <si>
    <t>CRITICAL_CARE_PAEDIATRIC_OCC</t>
  </si>
  <si>
    <t>CRITICAL_CARE_PAEDIATRIC_PERCENT_OVERNIGHT_BED_DAYS</t>
  </si>
  <si>
    <t>DAYCASE_ENDOSCOPY_RECOVERY_ANNUAL_OPERATIONAL_HOURS</t>
  </si>
  <si>
    <t>DAYCASE_ENDOSCOPY_RECOVERY_LOS</t>
  </si>
  <si>
    <t>DAYCASE_ENDOSCOPY_RECOVERY_OCC</t>
  </si>
  <si>
    <t>DAYCASE_RECOVERY_ADULT_MEDICAL_LOS</t>
  </si>
  <si>
    <t>DAYCASE_RECOVERY_ADULT_MEDICAL_OCC</t>
  </si>
  <si>
    <t>DAYCASE_RECOVERY_ADULT_SURGICAL_LOS</t>
  </si>
  <si>
    <t>DAYCASE_RECOVERY_ADULT_SURGICAL_OCC</t>
  </si>
  <si>
    <t>DAYCASE_RECOVERY_ANNUAL_OPERATIONAL_HOURS</t>
  </si>
  <si>
    <t>DAYCASE_RECOVERY_PAEDIATRIC_MEDICAL_LOS</t>
  </si>
  <si>
    <t>DAYCASE_RECOVERY_PAEDIATRIC_MEDICAL_OCC</t>
  </si>
  <si>
    <t>DAYCASE_RECOVERY_PAEDIATRIC_SURGICAL_LOS</t>
  </si>
  <si>
    <t>DAYCASE_RECOVERY_PAEDIATRIC_SURGICAL_OCC</t>
  </si>
  <si>
    <t>DAYCASE_RENAL_ANNUAL_SESSION_CAPACITY_PER_BED</t>
  </si>
  <si>
    <t>DAYCASE_THEATRE_ADULT_SURGICAL_PROC_TIME</t>
  </si>
  <si>
    <t>DAYCASE_THEATRE_ANNUAL_OPERATIONAL_HOURS</t>
  </si>
  <si>
    <t>DAYCASE_THEATRE_PAEDIATRIC_PROC_TIME</t>
  </si>
  <si>
    <t>DAYCASE_THEATRE_UTIL</t>
  </si>
  <si>
    <t>ENDOSCOPY_PROC_ANNUAL_OPERATIONAL_HOURS</t>
  </si>
  <si>
    <t>ENDOSCOPY_PROC_TIME</t>
  </si>
  <si>
    <t>ENDOSCOPY_PROC_UTIL</t>
  </si>
  <si>
    <t>HAEM_ONC_ANNUAL_OPERATIONAL_HOURS</t>
  </si>
  <si>
    <t>HAEM_ONC_TREATMENT_TIME</t>
  </si>
  <si>
    <t>HAEM_ONC_TREATMENT_UTIL</t>
  </si>
  <si>
    <t>INPATIENT_ASSESSMENT_ADULT_NON_ELECTIVE_MEDICAL_LOS</t>
  </si>
  <si>
    <t>INPATIENT_ASSESSMENT_ADULT_NON_ELECTIVE_SURGICAL_LOS</t>
  </si>
  <si>
    <t>INPATIENT_ASSESSMENT_ADULT_OCC</t>
  </si>
  <si>
    <t>INPATIENT_ASSESSMENT_ANNUAL_OPERATIONAL_DAYS</t>
  </si>
  <si>
    <t>INPATIENT_ASSESSMENT_PAEDIATRIC_NON_ELECTIVE_MEDICAL_LOS</t>
  </si>
  <si>
    <t>INPATIENT_ASSESSMENT_PAEDIATRIC_NON_ELECTIVE_SURGICAL_LOS</t>
  </si>
  <si>
    <t>INPATIENT_ASSESSMENT_PAEDIATRIC_OCC</t>
  </si>
  <si>
    <t>INPATIENT_THEATRE_ADULT_ELECTIVE_SURGICAL_PROC_TIME</t>
  </si>
  <si>
    <t>INPATIENT_THEATRE_ADULT_NON_ELECTIVE_SURGICAL_PROC_TIME</t>
  </si>
  <si>
    <t>INPATIENT_THEATRE_ANNUAL_OPERATIONAL_HOURS</t>
  </si>
  <si>
    <t>INPATIENT_THEATRE_PAEDIATRIC_ELECTIVE_SURGICAL_PROC_TIME</t>
  </si>
  <si>
    <t>INPATIENT_THEATRE_PAEDIATRIC_NON_ELECTIVE_SURGICAL_PROC_TIME</t>
  </si>
  <si>
    <t>INPATIENT_THEATRE_UTIL</t>
  </si>
  <si>
    <t>INT_RADIOLOGY_PROC_ANNUAL_OPERATIONAL_HOURS</t>
  </si>
  <si>
    <t>INT_RADIOLOGY_PROC_TIME</t>
  </si>
  <si>
    <t>INT_RADIOLOGY_PROC_UTIL</t>
  </si>
  <si>
    <t>LABS_CARDIAC_CATH_ANNUAL_OPERATIONAL_HOURS</t>
  </si>
  <si>
    <t>LABS_CARDIAC_CATH_PROC_TIME</t>
  </si>
  <si>
    <t>LABS_CARDIAC_CATH_UTIL</t>
  </si>
  <si>
    <t>MATERNITY_ASSESSMENT_ANNUAL_OPERATIONAL_HOURS</t>
  </si>
  <si>
    <t>MATERNITY_ASSESSMENT_OCC</t>
  </si>
  <si>
    <t>MATERNITY_ASSESSMENT_ZERO_DAY_LOS</t>
  </si>
  <si>
    <t>MATERNITY_ASSISTED_DELIVERY_BIRTH_ROOM_LOS</t>
  </si>
  <si>
    <t>MATERNITY_BIRTH_ROOM_ANNUAL_OPERATIONAL_DAYS</t>
  </si>
  <si>
    <t>MATERNITY_BIRTH_ROOM_OCC</t>
  </si>
  <si>
    <t>MATERNITY_NON_ELECTIVE_C_SECTION_BIRTH_ROOM_LOS</t>
  </si>
  <si>
    <t>MATERNITY_NORMAL_DELIVERY_BIRTH_ROOM_LOS</t>
  </si>
  <si>
    <t>MATERNITY_WARD_ANNUAL_OPERATIONAL_DAYS</t>
  </si>
  <si>
    <t>MATERNITY_WARD_ASSISTED_DELIVERY_ZERO_DAY_LOS</t>
  </si>
  <si>
    <t>MATERNITY_WARD_ELECTIVE_C_SECTION_ZERO_DAY_LOS</t>
  </si>
  <si>
    <t>MATERNITY_WARD_NON_ELECTIVE_C_SECTION_ZERO_DAY_LOS</t>
  </si>
  <si>
    <t>MATERNITY_WARD_NORMAL_DELIVERY_ZERO_DAY_LOS</t>
  </si>
  <si>
    <t>MATERNITY_WARD_OCC</t>
  </si>
  <si>
    <t>OBSTETRIC_THEATRE_ANNUAL_OPERATIONAL_HOURS</t>
  </si>
  <si>
    <t>OBSTETRIC_THEATRE_PROC_TIME</t>
  </si>
  <si>
    <t>OBSTETRIC_THEATRE_UTIL</t>
  </si>
  <si>
    <t>OP_CONSULT_ANNUAL_OPERATIONAL_HOURS</t>
  </si>
  <si>
    <t>OP_CONSULT_FIRST_DNA_RATE</t>
  </si>
  <si>
    <t>OP_CONSULT_FIRST_DNA_TIME</t>
  </si>
  <si>
    <t>OP_CONSULT_FIRST_TIME</t>
  </si>
  <si>
    <t>OP_CONSULT_FOLLOW_UP_DNA_RATE</t>
  </si>
  <si>
    <t>OP_CONSULT_FOLLOW_UP_DNA_TIME</t>
  </si>
  <si>
    <t>OP_CONSULT_FOLLOW_UP_TIME</t>
  </si>
  <si>
    <t>OP_CONSULT_UTIL</t>
  </si>
  <si>
    <t>OP_PROC_ANNUAL_OPERATIONAL_HOURS</t>
  </si>
  <si>
    <t>OP_PROC_DNA_RATE</t>
  </si>
  <si>
    <t>OP_PROC_DNA_TIME</t>
  </si>
  <si>
    <t>OP_PROC_TIME</t>
  </si>
  <si>
    <t>OP_PROC_UTIL</t>
  </si>
  <si>
    <t>OP_VIRTUAL_CONSULT_ANNUAL_OPERATIONAL_HOURS</t>
  </si>
  <si>
    <t>OP_VIRTUAL_CONSULT_DNA_RATE</t>
  </si>
  <si>
    <t>OP_VIRTUAL_CONSULT_DNA_TIME</t>
  </si>
  <si>
    <t>OP_VIRTUAL_CONSULT_TIME</t>
  </si>
  <si>
    <t>OP_VIRTUAL_CONSULT_UTIL</t>
  </si>
  <si>
    <t>SDEC_SPACES_ANNUAL_OPERATIONAL_HOURS</t>
  </si>
  <si>
    <t>SDEC_SPACES_LOS</t>
  </si>
  <si>
    <t>SDEC_SPACES_UTIL</t>
  </si>
  <si>
    <t>WARD_ADULT_ELECTIVE_MEDICAL_ZERO_DAY_LOS</t>
  </si>
  <si>
    <t>WARD_ADULT_ELECTIVE_OCC</t>
  </si>
  <si>
    <t>WARD_ADULT_ELECTIVE_SURGICAL_ZERO_DAY_LOS</t>
  </si>
  <si>
    <t>WARD_ADULT_NON_ELECTIVE_MEDICAL_ZERO_DAY_LOS</t>
  </si>
  <si>
    <t>WARD_ADULT_NON_ELECTIVE_OCC</t>
  </si>
  <si>
    <t>WARD_ADULT_NON_ELECTIVE_SURGICAL_ZERO_DAY_LOS</t>
  </si>
  <si>
    <t>WARD_ANNUAL_OPERATIONAL_DAYS</t>
  </si>
  <si>
    <t>WARD_PAEDIATRIC_ELECTIVE_MEDICAL_ZERO_DAY_LOS</t>
  </si>
  <si>
    <t>WARD_PAEDIATRIC_ELECTIVE_SURGICAL_ZERO_DAY_LOS</t>
  </si>
  <si>
    <t>WARD_PAEDIATRIC_NON_ELECTIVE_MEDICAL_ZERO_DAY_LOS</t>
  </si>
  <si>
    <t>WARD_PAEDIATRIC_NON_ELECTIVE_SURGICAL_ZERO_DAY_LOS</t>
  </si>
  <si>
    <t>WARD_PAEDIATRIC_OCC</t>
  </si>
  <si>
    <t>p10</t>
  </si>
  <si>
    <t>mean</t>
  </si>
  <si>
    <t>p90</t>
  </si>
  <si>
    <t>op_first_attendances</t>
  </si>
  <si>
    <t>op_follow_up_attendances</t>
  </si>
  <si>
    <t>op_procedures</t>
  </si>
  <si>
    <t>op_virtual_attendances</t>
  </si>
  <si>
    <t>total</t>
  </si>
  <si>
    <t>FIRST_OP_CONSULT_ROOMS</t>
  </si>
  <si>
    <t>FOLLOW_UP_OP_CONSULT_ROOMS</t>
  </si>
  <si>
    <t>OP_PROC_ROOMS</t>
  </si>
  <si>
    <t>OP_VIRTUAL_CONSULT_ROOMS</t>
  </si>
  <si>
    <t>adult_major_attendances</t>
  </si>
  <si>
    <t>adult_minor_attendances</t>
  </si>
  <si>
    <t>child_major_attendances</t>
  </si>
  <si>
    <t>child_minor_attendances</t>
  </si>
  <si>
    <t>resus_attendances</t>
  </si>
  <si>
    <t>sdec_attendances</t>
  </si>
  <si>
    <t>ADULT_MAJOR_AE_BEDS</t>
  </si>
  <si>
    <t>ADULT_MINOR_AE_BAYS</t>
  </si>
  <si>
    <t>CHILD_MAJOR_AE_BEDS</t>
  </si>
  <si>
    <t>CHILD_MINOR_AE_BAYS</t>
  </si>
  <si>
    <t>RESUS_AE_BEDS</t>
  </si>
  <si>
    <t>SDEC_SPACES</t>
  </si>
  <si>
    <t>daycase_adult_medical_spells</t>
  </si>
  <si>
    <t>daycase_adult_surgical_spells</t>
  </si>
  <si>
    <t>daycase_child_medical_spells</t>
  </si>
  <si>
    <t>daycase_child_surgical_spells</t>
  </si>
  <si>
    <t>daycase_endoscopy_spells</t>
  </si>
  <si>
    <t>daycase_haem_onc_spells</t>
  </si>
  <si>
    <t>daycase_renal_spells</t>
  </si>
  <si>
    <t>ADULT_MEDICAL_DAYCASE_RECOVERY_BEDS</t>
  </si>
  <si>
    <t>ADULT_SURGICAL_DAYCASE_RECOVERY_BEDS</t>
  </si>
  <si>
    <t>DAYCASE_ENDOSCOPY_RECOVERY_BEDS</t>
  </si>
  <si>
    <t>DAYCASE_RENAL_BEDS</t>
  </si>
  <si>
    <t>ENDOSCOPY_PROC_ROOMS</t>
  </si>
  <si>
    <t>HAEM_ONC_TRT_SPACES</t>
  </si>
  <si>
    <t>PAEDIATRIC_MEDICAL_DAYCASE_RECOVERY_BEDS</t>
  </si>
  <si>
    <t>PAEDIATRIC_SURGICAL_DAYCASE_RECOVERY_BEDS</t>
  </si>
  <si>
    <t>measure</t>
  </si>
  <si>
    <t>maternity_assessment</t>
  </si>
  <si>
    <t>beddays</t>
  </si>
  <si>
    <t>spells</t>
  </si>
  <si>
    <t>maternity_assisted_delivery</t>
  </si>
  <si>
    <t>maternity_assisted_delivery_nonzerolos</t>
  </si>
  <si>
    <t>maternity_assisted_delivery_zerolos</t>
  </si>
  <si>
    <t>maternity_elective_csection_nonzerolos</t>
  </si>
  <si>
    <t>maternity_elective_csection_zerolos</t>
  </si>
  <si>
    <t>maternity_nonelective_csection</t>
  </si>
  <si>
    <t>maternity_nonelective_csection_nonzerolos</t>
  </si>
  <si>
    <t>maternity_nonelective_csection_zerolos</t>
  </si>
  <si>
    <t>maternity_normal_delivery</t>
  </si>
  <si>
    <t>maternity_normal_delivery_nonzerolos</t>
  </si>
  <si>
    <t>maternity_normal_delivery_zerolos</t>
  </si>
  <si>
    <t>maternity_overnight_no_birth</t>
  </si>
  <si>
    <t>obstetric_theatre_procedures</t>
  </si>
  <si>
    <t>ASSISTED_DELIVERY_MATERNITY_BIRTH_ROOMS</t>
  </si>
  <si>
    <t>MATERNITY_ASSESSMENT_BEDS</t>
  </si>
  <si>
    <t>MATERNITY_WARD_BEDS</t>
  </si>
  <si>
    <t>NON_ELECTIVE_C_SECTION_MATERNITY_BIRTH_ROOMS</t>
  </si>
  <si>
    <t>NORMAL_DELIVERY_MATERNITY_BIRTH_ROOMS</t>
  </si>
  <si>
    <t>OBSTETRIC_PROC_THEATRES</t>
  </si>
  <si>
    <t>adult_assessment_beddays</t>
  </si>
  <si>
    <t>adult_critical_care_beddays</t>
  </si>
  <si>
    <t>adult_elective_wards_beddays</t>
  </si>
  <si>
    <t>adult_nonelective_wards_beddays</t>
  </si>
  <si>
    <t>paediatric_assessment_beddays</t>
  </si>
  <si>
    <t>paediatric_critical_care_beddays</t>
  </si>
  <si>
    <t>paediatric_wards_beddays</t>
  </si>
  <si>
    <t>ADULT_CRITICAL_CARE_BEDS</t>
  </si>
  <si>
    <t>ADULT_ELECTIVE_INPATIENT_WARD_BEDS</t>
  </si>
  <si>
    <t>ADULT_INPATIENT_ASSESSMENT_BEDS</t>
  </si>
  <si>
    <t>ADULT_NON_ELECTIVE_INPATIENT_WARD_BEDS</t>
  </si>
  <si>
    <t>PAEDIATRIC_CRITICAL_CARE_BEDS</t>
  </si>
  <si>
    <t>PAEDIATRIC_INPATIENT_ASSESSMENT_BEDS</t>
  </si>
  <si>
    <t>PAEDIATRIC_INPATIENT_WARD_BEDS</t>
  </si>
  <si>
    <t>adult_elective_surgical_procedures</t>
  </si>
  <si>
    <t>adult_nonelective_surgical_procedures</t>
  </si>
  <si>
    <t>adult_surgical_daycase_procedures</t>
  </si>
  <si>
    <t>cardiac_catheter_procedure</t>
  </si>
  <si>
    <t>interventional_radiology_procedure</t>
  </si>
  <si>
    <t>paediatric_daycase_procedures</t>
  </si>
  <si>
    <t>paediatric_elective_procedures</t>
  </si>
  <si>
    <t>paediatric_nonelective_procedures</t>
  </si>
  <si>
    <t>ADULT_ELECTIVE_SURGICAL_INPATIENT_PROC_THEATRES</t>
  </si>
  <si>
    <t>ADULT_NON_ELECTIVE_SURGICAL_INPATIENT_PROC_THEATRES</t>
  </si>
  <si>
    <t>ADULT_SURGICAL_DAYCASE_PROC_THEATRES</t>
  </si>
  <si>
    <t>CARDIAC_CATH_PROC_LABS</t>
  </si>
  <si>
    <t>INT_RADIOLOGY_PROC_ROOMS</t>
  </si>
  <si>
    <t>PAEDIATRIC_DAYCASE_PROC_THEATRES</t>
  </si>
  <si>
    <t>PAEDIATRIC_ELECTIVE_INPATIENT_PROC_THEATRES</t>
  </si>
  <si>
    <t>PAEDIATRIC_NON_ELECTIVE_INPATIENT_PROC_THEATRES</t>
  </si>
  <si>
    <t>Date Created</t>
  </si>
  <si>
    <t>Introduction</t>
  </si>
  <si>
    <t>Contents</t>
  </si>
  <si>
    <t>baseline_year_activity_counts</t>
  </si>
  <si>
    <t>predicted_activity_volumes</t>
  </si>
  <si>
    <t>estimated_capacity_needs</t>
  </si>
  <si>
    <t>Descriptions and values of all default assumptions used in this conversion. Explanations can be found in this file: https://github.com/The-Strategy-Unit/open-plan-docs/blob/main/docs/data/assumptions_register.csv</t>
  </si>
  <si>
    <t>demand_model_app_version</t>
  </si>
  <si>
    <t>baseline year</t>
  </si>
  <si>
    <t>horizon year</t>
  </si>
  <si>
    <t>activity_group</t>
  </si>
  <si>
    <t>OP</t>
  </si>
  <si>
    <t>AAE</t>
  </si>
  <si>
    <t>attendances</t>
  </si>
  <si>
    <t>procedures</t>
  </si>
  <si>
    <t>total theatre time</t>
  </si>
  <si>
    <t>metadata</t>
  </si>
  <si>
    <t>assumptions</t>
  </si>
  <si>
    <t>assumption_ID</t>
  </si>
  <si>
    <t>value</t>
  </si>
  <si>
    <t>care_setting</t>
  </si>
  <si>
    <t>resource</t>
  </si>
  <si>
    <t>This workbook contains the results of the OpenPlan capacity conversion model (https://the-strategy-unit.github.io/open-plan-docs/) on results of the OpenPlan demand model (https://connect.strategyunitwm.nhs.uk/nhp/project_information/).</t>
  </si>
  <si>
    <t>OpenPlan Capacity Conversion Results Workbook</t>
  </si>
  <si>
    <t>Information about the OpenPlan demand model scenario that has been converted to capacity estimates, and the version of the OpenPlan capacity conversion model that was used.</t>
  </si>
  <si>
    <t>Small-count suppressed counts of activity in the baseline modelling year (for details on suppression documentation see https://the-strategy-unit.github.io/open-plan-docs/). Note: these will differ from baseline counts of activity in the OpenPlan demand model.</t>
  </si>
  <si>
    <t>Mean and 80% confidence intervals (p10 and p90) of the distribution of predicted activity across functional areas.</t>
  </si>
  <si>
    <t>Mean and 80% confidence intervals (p10 and p90) of estimated capacity needed to meet predicted activity demand.</t>
  </si>
  <si>
    <t>demand_model_scenario_name</t>
  </si>
  <si>
    <t>demand_model_scenario_runtime</t>
  </si>
  <si>
    <t>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</si>
</sst>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7152-77D1-4806-B526-585054FEE643}">
  <dimension ref="A1:B14"/>
  <sheetViews>
    <sheetView workbookViewId="0">
      <selection activeCell="B13" sqref="B13"/>
    </sheetView>
  </sheetViews>
  <sheetFormatPr defaultRowHeight="14.5" x14ac:dyDescent="0.35"/>
  <cols>
    <col min="1" max="1" width="26.08984375" customWidth="1"/>
    <col min="2" max="2" width="10.453125" bestFit="1" customWidth="1"/>
  </cols>
  <sheetData>
    <row r="1" spans="1:2" x14ac:dyDescent="0.35">
      <c r="A1" s="1" t="s">
        <v>237</v>
      </c>
    </row>
    <row r="3" spans="1:2" x14ac:dyDescent="0.35">
      <c r="A3" s="1" t="s">
        <v>214</v>
      </c>
      <c r="B3" s="2">
        <v>46259</v>
      </c>
    </row>
    <row r="5" spans="1:2" x14ac:dyDescent="0.35">
      <c r="A5" s="1" t="s">
        <v>215</v>
      </c>
    </row>
    <row r="6" spans="1:2" x14ac:dyDescent="0.35">
      <c r="A6" t="s">
        <v>236</v>
      </c>
    </row>
    <row r="9" spans="1:2" x14ac:dyDescent="0.35">
      <c r="A9" s="1" t="s">
        <v>216</v>
      </c>
    </row>
    <row r="10" spans="1:2" x14ac:dyDescent="0.35">
      <c r="A10" t="s">
        <v>230</v>
      </c>
      <c r="B10" t="s">
        <v>238</v>
      </c>
    </row>
    <row r="11" spans="1:2" x14ac:dyDescent="0.35">
      <c r="A11" t="s">
        <v>231</v>
      </c>
      <c r="B11" t="s">
        <v>220</v>
      </c>
    </row>
    <row r="12" spans="1:2" x14ac:dyDescent="0.35">
      <c r="A12" t="s">
        <v>217</v>
      </c>
      <c r="B12" t="s">
        <v>239</v>
      </c>
    </row>
    <row r="13" spans="1:2" x14ac:dyDescent="0.35">
      <c r="A13" t="s">
        <v>218</v>
      </c>
      <c r="B13" t="s">
        <v>240</v>
      </c>
    </row>
    <row r="14" spans="1:2" x14ac:dyDescent="0.35">
      <c r="A14" t="s">
        <v>219</v>
      </c>
      <c r="B14" t="s">
        <v>241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B2" sqref="B2"/>
    </sheetView>
  </sheetViews>
  <sheetFormatPr defaultRowHeight="14.5" x14ac:dyDescent="0.35"/>
  <cols>
    <col min="1" max="1" width="29" customWidth="1"/>
    <col min="2" max="2" width="58" customWidth="1"/>
  </cols>
  <sheetData>
    <row r="1" spans="1:2" x14ac:dyDescent="0.35">
      <c r="A1" t="s">
        <v>221</v>
      </c>
      <c r="B1" t="s">
        <v>0</v>
      </c>
    </row>
    <row r="2" spans="1:2" x14ac:dyDescent="0.35">
      <c r="A2" t="s">
        <v>242</v>
      </c>
    </row>
    <row r="3" spans="1:2" x14ac:dyDescent="0.35">
      <c r="A3" t="s">
        <v>243</v>
      </c>
      <c r="B3" t="s">
        <v>1</v>
      </c>
    </row>
    <row r="4" spans="1:2" x14ac:dyDescent="0.35">
      <c r="A4" t="s">
        <v>2</v>
      </c>
    </row>
    <row r="5" spans="1:2" x14ac:dyDescent="0.35">
      <c r="A5" t="s">
        <v>3</v>
      </c>
      <c r="B5" t="s">
        <v>4</v>
      </c>
    </row>
    <row r="6" spans="1:2" x14ac:dyDescent="0.35">
      <c r="A6" t="s">
        <v>5</v>
      </c>
      <c r="B6" t="s">
        <v>6</v>
      </c>
    </row>
    <row r="7" spans="1:2" x14ac:dyDescent="0.35">
      <c r="A7" t="s">
        <v>7</v>
      </c>
      <c r="B7" t="s">
        <v>6</v>
      </c>
    </row>
    <row r="8" spans="1:2" x14ac:dyDescent="0.35">
      <c r="A8" t="s">
        <v>8</v>
      </c>
      <c r="B8" t="s">
        <v>6</v>
      </c>
    </row>
    <row r="9" spans="1:2" x14ac:dyDescent="0.35">
      <c r="A9" t="s">
        <v>9</v>
      </c>
      <c r="B9" t="s">
        <v>10</v>
      </c>
    </row>
    <row r="10" spans="1:2" x14ac:dyDescent="0.35">
      <c r="A10" t="s">
        <v>222</v>
      </c>
    </row>
    <row r="11" spans="1:2" x14ac:dyDescent="0.35">
      <c r="A11" t="s">
        <v>223</v>
      </c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2"/>
  <sheetViews>
    <sheetView workbookViewId="0">
      <selection activeCell="B1" sqref="B1"/>
    </sheetView>
  </sheetViews>
  <sheetFormatPr defaultRowHeight="14.5" x14ac:dyDescent="0.35"/>
  <cols>
    <col min="1" max="1" width="62" customWidth="1"/>
    <col min="2" max="2" width="8" customWidth="1"/>
  </cols>
  <sheetData>
    <row r="1" spans="1:2" x14ac:dyDescent="0.35">
      <c r="A1" t="s">
        <v>232</v>
      </c>
      <c r="B1" t="s">
        <v>233</v>
      </c>
    </row>
    <row r="2" spans="1:2" x14ac:dyDescent="0.35">
      <c r="A2" t="s">
        <v>11</v>
      </c>
      <c r="B2">
        <v>240</v>
      </c>
    </row>
    <row r="3" spans="1:2" x14ac:dyDescent="0.35">
      <c r="A3" t="s">
        <v>12</v>
      </c>
      <c r="B3">
        <v>0.5</v>
      </c>
    </row>
    <row r="4" spans="1:2" x14ac:dyDescent="0.35">
      <c r="A4" t="s">
        <v>13</v>
      </c>
      <c r="B4">
        <v>60</v>
      </c>
    </row>
    <row r="5" spans="1:2" x14ac:dyDescent="0.35">
      <c r="A5" t="s">
        <v>14</v>
      </c>
      <c r="B5">
        <v>0.5</v>
      </c>
    </row>
    <row r="6" spans="1:2" x14ac:dyDescent="0.35">
      <c r="A6" t="s">
        <v>15</v>
      </c>
      <c r="B6">
        <v>8760</v>
      </c>
    </row>
    <row r="7" spans="1:2" x14ac:dyDescent="0.35">
      <c r="A7" t="s">
        <v>16</v>
      </c>
      <c r="B7">
        <v>8760</v>
      </c>
    </row>
    <row r="8" spans="1:2" x14ac:dyDescent="0.35">
      <c r="A8" t="s">
        <v>17</v>
      </c>
      <c r="B8">
        <v>240</v>
      </c>
    </row>
    <row r="9" spans="1:2" x14ac:dyDescent="0.35">
      <c r="A9" t="s">
        <v>18</v>
      </c>
      <c r="B9">
        <v>0.5</v>
      </c>
    </row>
    <row r="10" spans="1:2" x14ac:dyDescent="0.35">
      <c r="A10" t="s">
        <v>19</v>
      </c>
      <c r="B10">
        <v>60</v>
      </c>
    </row>
    <row r="11" spans="1:2" x14ac:dyDescent="0.35">
      <c r="A11" t="s">
        <v>20</v>
      </c>
      <c r="B11">
        <v>0.5</v>
      </c>
    </row>
    <row r="12" spans="1:2" x14ac:dyDescent="0.35">
      <c r="A12" t="s">
        <v>21</v>
      </c>
      <c r="B12">
        <v>240</v>
      </c>
    </row>
    <row r="13" spans="1:2" x14ac:dyDescent="0.35">
      <c r="A13" t="s">
        <v>22</v>
      </c>
      <c r="B13">
        <v>0.5</v>
      </c>
    </row>
    <row r="14" spans="1:2" x14ac:dyDescent="0.35">
      <c r="A14" t="s">
        <v>23</v>
      </c>
      <c r="B14">
        <v>0.7</v>
      </c>
    </row>
    <row r="15" spans="1:2" x14ac:dyDescent="0.35">
      <c r="A15" t="s">
        <v>24</v>
      </c>
      <c r="B15">
        <v>0.03</v>
      </c>
    </row>
    <row r="16" spans="1:2" x14ac:dyDescent="0.35">
      <c r="A16" t="s">
        <v>25</v>
      </c>
      <c r="B16">
        <v>365</v>
      </c>
    </row>
    <row r="17" spans="1:2" x14ac:dyDescent="0.35">
      <c r="A17" t="s">
        <v>26</v>
      </c>
      <c r="B17">
        <v>0.7</v>
      </c>
    </row>
    <row r="18" spans="1:2" x14ac:dyDescent="0.35">
      <c r="A18" t="s">
        <v>27</v>
      </c>
      <c r="B18">
        <v>1</v>
      </c>
    </row>
    <row r="19" spans="1:2" x14ac:dyDescent="0.35">
      <c r="A19" t="s">
        <v>28</v>
      </c>
      <c r="B19">
        <v>0.7</v>
      </c>
    </row>
    <row r="20" spans="1:2" x14ac:dyDescent="0.35">
      <c r="A20" t="s">
        <v>29</v>
      </c>
      <c r="B20">
        <v>0.03</v>
      </c>
    </row>
    <row r="21" spans="1:2" x14ac:dyDescent="0.35">
      <c r="A21" t="s">
        <v>30</v>
      </c>
      <c r="B21">
        <v>4032</v>
      </c>
    </row>
    <row r="22" spans="1:2" x14ac:dyDescent="0.35">
      <c r="A22" t="s">
        <v>31</v>
      </c>
      <c r="B22">
        <v>420</v>
      </c>
    </row>
    <row r="23" spans="1:2" x14ac:dyDescent="0.35">
      <c r="A23" t="s">
        <v>32</v>
      </c>
      <c r="B23">
        <v>0.85</v>
      </c>
    </row>
    <row r="24" spans="1:2" x14ac:dyDescent="0.35">
      <c r="A24" t="s">
        <v>33</v>
      </c>
      <c r="B24">
        <v>420</v>
      </c>
    </row>
    <row r="25" spans="1:2" x14ac:dyDescent="0.35">
      <c r="A25" t="s">
        <v>34</v>
      </c>
      <c r="B25">
        <v>0.85</v>
      </c>
    </row>
    <row r="26" spans="1:2" x14ac:dyDescent="0.35">
      <c r="A26" t="s">
        <v>35</v>
      </c>
      <c r="B26">
        <v>558</v>
      </c>
    </row>
    <row r="27" spans="1:2" x14ac:dyDescent="0.35">
      <c r="A27" t="s">
        <v>36</v>
      </c>
      <c r="B27">
        <v>0.85</v>
      </c>
    </row>
    <row r="28" spans="1:2" x14ac:dyDescent="0.35">
      <c r="A28" t="s">
        <v>37</v>
      </c>
      <c r="B28">
        <v>4032</v>
      </c>
    </row>
    <row r="29" spans="1:2" x14ac:dyDescent="0.35">
      <c r="A29" t="s">
        <v>38</v>
      </c>
      <c r="B29">
        <v>420</v>
      </c>
    </row>
    <row r="30" spans="1:2" x14ac:dyDescent="0.35">
      <c r="A30" t="s">
        <v>39</v>
      </c>
      <c r="B30">
        <v>0.85</v>
      </c>
    </row>
    <row r="31" spans="1:2" x14ac:dyDescent="0.35">
      <c r="A31" t="s">
        <v>40</v>
      </c>
      <c r="B31">
        <v>558</v>
      </c>
    </row>
    <row r="32" spans="1:2" x14ac:dyDescent="0.35">
      <c r="A32" t="s">
        <v>41</v>
      </c>
      <c r="B32">
        <v>0.85</v>
      </c>
    </row>
    <row r="33" spans="1:2" x14ac:dyDescent="0.35">
      <c r="A33" t="s">
        <v>42</v>
      </c>
      <c r="B33">
        <v>576</v>
      </c>
    </row>
    <row r="34" spans="1:2" x14ac:dyDescent="0.35">
      <c r="A34" t="s">
        <v>43</v>
      </c>
      <c r="B34">
        <v>40</v>
      </c>
    </row>
    <row r="35" spans="1:2" x14ac:dyDescent="0.35">
      <c r="A35" t="s">
        <v>44</v>
      </c>
      <c r="B35">
        <v>2880</v>
      </c>
    </row>
    <row r="36" spans="1:2" x14ac:dyDescent="0.35">
      <c r="A36" t="s">
        <v>45</v>
      </c>
      <c r="B36">
        <v>40</v>
      </c>
    </row>
    <row r="37" spans="1:2" x14ac:dyDescent="0.35">
      <c r="A37" t="s">
        <v>46</v>
      </c>
      <c r="B37">
        <v>0.85</v>
      </c>
    </row>
    <row r="38" spans="1:2" x14ac:dyDescent="0.35">
      <c r="A38" t="s">
        <v>47</v>
      </c>
      <c r="B38">
        <v>2880</v>
      </c>
    </row>
    <row r="39" spans="1:2" x14ac:dyDescent="0.35">
      <c r="A39" t="s">
        <v>48</v>
      </c>
      <c r="B39">
        <v>60</v>
      </c>
    </row>
    <row r="40" spans="1:2" x14ac:dyDescent="0.35">
      <c r="A40" t="s">
        <v>49</v>
      </c>
      <c r="B40">
        <v>0.85</v>
      </c>
    </row>
    <row r="41" spans="1:2" x14ac:dyDescent="0.35">
      <c r="A41" t="s">
        <v>50</v>
      </c>
      <c r="B41">
        <v>2880</v>
      </c>
    </row>
    <row r="42" spans="1:2" x14ac:dyDescent="0.35">
      <c r="A42" t="s">
        <v>51</v>
      </c>
      <c r="B42">
        <v>240</v>
      </c>
    </row>
    <row r="43" spans="1:2" x14ac:dyDescent="0.35">
      <c r="A43" t="s">
        <v>52</v>
      </c>
      <c r="B43">
        <v>0.85</v>
      </c>
    </row>
    <row r="44" spans="1:2" x14ac:dyDescent="0.35">
      <c r="A44" t="s">
        <v>53</v>
      </c>
      <c r="B44">
        <v>1440</v>
      </c>
    </row>
    <row r="45" spans="1:2" x14ac:dyDescent="0.35">
      <c r="A45" t="s">
        <v>54</v>
      </c>
      <c r="B45">
        <v>1440</v>
      </c>
    </row>
    <row r="46" spans="1:2" x14ac:dyDescent="0.35">
      <c r="A46" t="s">
        <v>55</v>
      </c>
      <c r="B46">
        <v>0.85</v>
      </c>
    </row>
    <row r="47" spans="1:2" x14ac:dyDescent="0.35">
      <c r="A47" t="s">
        <v>56</v>
      </c>
      <c r="B47">
        <v>365</v>
      </c>
    </row>
    <row r="48" spans="1:2" x14ac:dyDescent="0.35">
      <c r="A48" t="s">
        <v>57</v>
      </c>
      <c r="B48">
        <v>1440</v>
      </c>
    </row>
    <row r="49" spans="1:2" x14ac:dyDescent="0.35">
      <c r="A49" t="s">
        <v>58</v>
      </c>
      <c r="B49">
        <v>1440</v>
      </c>
    </row>
    <row r="50" spans="1:2" x14ac:dyDescent="0.35">
      <c r="A50" t="s">
        <v>59</v>
      </c>
      <c r="B50">
        <v>0.85</v>
      </c>
    </row>
    <row r="51" spans="1:2" x14ac:dyDescent="0.35">
      <c r="A51" t="s">
        <v>60</v>
      </c>
      <c r="B51">
        <v>90</v>
      </c>
    </row>
    <row r="52" spans="1:2" x14ac:dyDescent="0.35">
      <c r="A52" t="s">
        <v>61</v>
      </c>
      <c r="B52">
        <v>80</v>
      </c>
    </row>
    <row r="53" spans="1:2" x14ac:dyDescent="0.35">
      <c r="A53" t="s">
        <v>62</v>
      </c>
      <c r="B53">
        <v>2880</v>
      </c>
    </row>
    <row r="54" spans="1:2" x14ac:dyDescent="0.35">
      <c r="A54" t="s">
        <v>63</v>
      </c>
      <c r="B54">
        <v>90</v>
      </c>
    </row>
    <row r="55" spans="1:2" x14ac:dyDescent="0.35">
      <c r="A55" t="s">
        <v>64</v>
      </c>
      <c r="B55">
        <v>80</v>
      </c>
    </row>
    <row r="56" spans="1:2" x14ac:dyDescent="0.35">
      <c r="A56" t="s">
        <v>65</v>
      </c>
      <c r="B56">
        <v>0.85</v>
      </c>
    </row>
    <row r="57" spans="1:2" x14ac:dyDescent="0.35">
      <c r="A57" t="s">
        <v>66</v>
      </c>
      <c r="B57">
        <v>2880</v>
      </c>
    </row>
    <row r="58" spans="1:2" x14ac:dyDescent="0.35">
      <c r="A58" t="s">
        <v>67</v>
      </c>
      <c r="B58">
        <v>120</v>
      </c>
    </row>
    <row r="59" spans="1:2" x14ac:dyDescent="0.35">
      <c r="A59" t="s">
        <v>68</v>
      </c>
      <c r="B59">
        <v>0.85</v>
      </c>
    </row>
    <row r="60" spans="1:2" x14ac:dyDescent="0.35">
      <c r="A60" t="s">
        <v>69</v>
      </c>
      <c r="B60">
        <v>2880</v>
      </c>
    </row>
    <row r="61" spans="1:2" x14ac:dyDescent="0.35">
      <c r="A61" t="s">
        <v>70</v>
      </c>
      <c r="B61">
        <v>120</v>
      </c>
    </row>
    <row r="62" spans="1:2" x14ac:dyDescent="0.35">
      <c r="A62" t="s">
        <v>71</v>
      </c>
      <c r="B62">
        <v>0.85</v>
      </c>
    </row>
    <row r="63" spans="1:2" x14ac:dyDescent="0.35">
      <c r="A63" t="s">
        <v>72</v>
      </c>
      <c r="B63">
        <v>3600</v>
      </c>
    </row>
    <row r="64" spans="1:2" x14ac:dyDescent="0.35">
      <c r="A64" t="s">
        <v>73</v>
      </c>
      <c r="B64">
        <v>0.85</v>
      </c>
    </row>
    <row r="65" spans="1:2" x14ac:dyDescent="0.35">
      <c r="A65" t="s">
        <v>74</v>
      </c>
      <c r="B65">
        <v>120</v>
      </c>
    </row>
    <row r="66" spans="1:2" x14ac:dyDescent="0.35">
      <c r="A66" t="s">
        <v>75</v>
      </c>
      <c r="B66">
        <v>2040</v>
      </c>
    </row>
    <row r="67" spans="1:2" x14ac:dyDescent="0.35">
      <c r="A67" t="s">
        <v>76</v>
      </c>
      <c r="B67">
        <v>365</v>
      </c>
    </row>
    <row r="68" spans="1:2" x14ac:dyDescent="0.35">
      <c r="A68" t="s">
        <v>77</v>
      </c>
      <c r="B68">
        <v>0.7</v>
      </c>
    </row>
    <row r="69" spans="1:2" x14ac:dyDescent="0.35">
      <c r="A69" t="s">
        <v>78</v>
      </c>
      <c r="B69">
        <v>720</v>
      </c>
    </row>
    <row r="70" spans="1:2" x14ac:dyDescent="0.35">
      <c r="A70" t="s">
        <v>79</v>
      </c>
      <c r="B70">
        <v>1560</v>
      </c>
    </row>
    <row r="71" spans="1:2" x14ac:dyDescent="0.35">
      <c r="A71" t="s">
        <v>80</v>
      </c>
      <c r="B71">
        <v>365</v>
      </c>
    </row>
    <row r="72" spans="1:2" x14ac:dyDescent="0.35">
      <c r="A72" t="s">
        <v>81</v>
      </c>
      <c r="B72">
        <v>720</v>
      </c>
    </row>
    <row r="73" spans="1:2" x14ac:dyDescent="0.35">
      <c r="A73" t="s">
        <v>82</v>
      </c>
      <c r="B73">
        <v>0</v>
      </c>
    </row>
    <row r="74" spans="1:2" x14ac:dyDescent="0.35">
      <c r="A74" t="s">
        <v>83</v>
      </c>
      <c r="B74">
        <v>720</v>
      </c>
    </row>
    <row r="75" spans="1:2" x14ac:dyDescent="0.35">
      <c r="A75" t="s">
        <v>84</v>
      </c>
      <c r="B75">
        <v>720</v>
      </c>
    </row>
    <row r="76" spans="1:2" x14ac:dyDescent="0.35">
      <c r="A76" t="s">
        <v>85</v>
      </c>
      <c r="B76">
        <v>0.75</v>
      </c>
    </row>
    <row r="77" spans="1:2" x14ac:dyDescent="0.35">
      <c r="A77" t="s">
        <v>86</v>
      </c>
      <c r="B77">
        <v>5110</v>
      </c>
    </row>
    <row r="78" spans="1:2" x14ac:dyDescent="0.35">
      <c r="A78" t="s">
        <v>87</v>
      </c>
      <c r="B78">
        <v>60</v>
      </c>
    </row>
    <row r="79" spans="1:2" x14ac:dyDescent="0.35">
      <c r="A79" t="s">
        <v>88</v>
      </c>
      <c r="B79">
        <v>0.5</v>
      </c>
    </row>
    <row r="80" spans="1:2" x14ac:dyDescent="0.35">
      <c r="A80" t="s">
        <v>89</v>
      </c>
      <c r="B80">
        <v>2860</v>
      </c>
    </row>
    <row r="81" spans="1:2" x14ac:dyDescent="0.35">
      <c r="A81" t="s">
        <v>90</v>
      </c>
      <c r="B81">
        <v>7.0000000000000007E-2</v>
      </c>
    </row>
    <row r="82" spans="1:2" x14ac:dyDescent="0.35">
      <c r="A82" t="s">
        <v>91</v>
      </c>
      <c r="B82">
        <v>20</v>
      </c>
    </row>
    <row r="83" spans="1:2" x14ac:dyDescent="0.35">
      <c r="A83" t="s">
        <v>92</v>
      </c>
      <c r="B83">
        <v>38</v>
      </c>
    </row>
    <row r="84" spans="1:2" x14ac:dyDescent="0.35">
      <c r="A84" t="s">
        <v>93</v>
      </c>
      <c r="B84">
        <v>8.8999999999999996E-2</v>
      </c>
    </row>
    <row r="85" spans="1:2" x14ac:dyDescent="0.35">
      <c r="A85" t="s">
        <v>94</v>
      </c>
      <c r="B85">
        <v>20</v>
      </c>
    </row>
    <row r="86" spans="1:2" x14ac:dyDescent="0.35">
      <c r="A86" t="s">
        <v>95</v>
      </c>
      <c r="B86">
        <v>20</v>
      </c>
    </row>
    <row r="87" spans="1:2" x14ac:dyDescent="0.35">
      <c r="A87" t="s">
        <v>96</v>
      </c>
      <c r="B87">
        <v>0.85</v>
      </c>
    </row>
    <row r="88" spans="1:2" x14ac:dyDescent="0.35">
      <c r="A88" t="s">
        <v>97</v>
      </c>
      <c r="B88">
        <v>2860</v>
      </c>
    </row>
    <row r="89" spans="1:2" x14ac:dyDescent="0.35">
      <c r="A89" t="s">
        <v>98</v>
      </c>
      <c r="B89">
        <v>7.0000000000000007E-2</v>
      </c>
    </row>
    <row r="90" spans="1:2" x14ac:dyDescent="0.35">
      <c r="A90" t="s">
        <v>99</v>
      </c>
      <c r="B90">
        <v>20</v>
      </c>
    </row>
    <row r="91" spans="1:2" x14ac:dyDescent="0.35">
      <c r="A91" t="s">
        <v>100</v>
      </c>
      <c r="B91">
        <v>28</v>
      </c>
    </row>
    <row r="92" spans="1:2" x14ac:dyDescent="0.35">
      <c r="A92" t="s">
        <v>101</v>
      </c>
      <c r="B92">
        <v>0.85</v>
      </c>
    </row>
    <row r="93" spans="1:2" x14ac:dyDescent="0.35">
      <c r="A93" t="s">
        <v>102</v>
      </c>
      <c r="B93">
        <v>1920</v>
      </c>
    </row>
    <row r="94" spans="1:2" x14ac:dyDescent="0.35">
      <c r="A94" t="s">
        <v>103</v>
      </c>
      <c r="B94">
        <v>7.0000000000000007E-2</v>
      </c>
    </row>
    <row r="95" spans="1:2" x14ac:dyDescent="0.35">
      <c r="A95" t="s">
        <v>104</v>
      </c>
      <c r="B95">
        <v>20</v>
      </c>
    </row>
    <row r="96" spans="1:2" x14ac:dyDescent="0.35">
      <c r="A96" t="s">
        <v>105</v>
      </c>
      <c r="B96">
        <v>26</v>
      </c>
    </row>
    <row r="97" spans="1:2" x14ac:dyDescent="0.35">
      <c r="A97" t="s">
        <v>106</v>
      </c>
      <c r="B97">
        <v>0.85</v>
      </c>
    </row>
    <row r="98" spans="1:2" x14ac:dyDescent="0.35">
      <c r="A98" t="s">
        <v>107</v>
      </c>
      <c r="B98">
        <v>4380</v>
      </c>
    </row>
    <row r="99" spans="1:2" x14ac:dyDescent="0.35">
      <c r="A99" t="s">
        <v>108</v>
      </c>
      <c r="B99">
        <v>240</v>
      </c>
    </row>
    <row r="100" spans="1:2" x14ac:dyDescent="0.35">
      <c r="A100" t="s">
        <v>109</v>
      </c>
      <c r="B100">
        <v>0.5</v>
      </c>
    </row>
    <row r="101" spans="1:2" x14ac:dyDescent="0.35">
      <c r="A101" t="s">
        <v>110</v>
      </c>
      <c r="B101">
        <v>720</v>
      </c>
    </row>
    <row r="102" spans="1:2" x14ac:dyDescent="0.35">
      <c r="A102" t="s">
        <v>111</v>
      </c>
      <c r="B102">
        <v>0.92</v>
      </c>
    </row>
    <row r="103" spans="1:2" x14ac:dyDescent="0.35">
      <c r="A103" t="s">
        <v>112</v>
      </c>
      <c r="B103">
        <v>720</v>
      </c>
    </row>
    <row r="104" spans="1:2" x14ac:dyDescent="0.35">
      <c r="A104" t="s">
        <v>113</v>
      </c>
      <c r="B104">
        <v>720</v>
      </c>
    </row>
    <row r="105" spans="1:2" x14ac:dyDescent="0.35">
      <c r="A105" t="s">
        <v>114</v>
      </c>
      <c r="B105">
        <v>0.92</v>
      </c>
    </row>
    <row r="106" spans="1:2" x14ac:dyDescent="0.35">
      <c r="A106" t="s">
        <v>115</v>
      </c>
      <c r="B106">
        <v>720</v>
      </c>
    </row>
    <row r="107" spans="1:2" x14ac:dyDescent="0.35">
      <c r="A107" t="s">
        <v>116</v>
      </c>
      <c r="B107">
        <v>365</v>
      </c>
    </row>
    <row r="108" spans="1:2" x14ac:dyDescent="0.35">
      <c r="A108" t="s">
        <v>117</v>
      </c>
      <c r="B108">
        <v>720</v>
      </c>
    </row>
    <row r="109" spans="1:2" x14ac:dyDescent="0.35">
      <c r="A109" t="s">
        <v>118</v>
      </c>
      <c r="B109">
        <v>720</v>
      </c>
    </row>
    <row r="110" spans="1:2" x14ac:dyDescent="0.35">
      <c r="A110" t="s">
        <v>119</v>
      </c>
      <c r="B110">
        <v>720</v>
      </c>
    </row>
    <row r="111" spans="1:2" x14ac:dyDescent="0.35">
      <c r="A111" t="s">
        <v>120</v>
      </c>
      <c r="B111">
        <v>720</v>
      </c>
    </row>
    <row r="112" spans="1:2" x14ac:dyDescent="0.35">
      <c r="A112" t="s">
        <v>121</v>
      </c>
      <c r="B112">
        <v>0.92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01B83-11F6-4CF0-8D60-48BEF6A23294}">
  <dimension ref="A1:D69"/>
  <sheetViews>
    <sheetView topLeftCell="A37" workbookViewId="0">
      <selection activeCell="C12" sqref="C12:C69"/>
    </sheetView>
  </sheetViews>
  <sheetFormatPr defaultRowHeight="14.5" x14ac:dyDescent="0.35"/>
  <cols>
    <col min="1" max="1" width="23.81640625" bestFit="1" customWidth="1"/>
    <col min="2" max="2" width="7.90625" bestFit="1" customWidth="1"/>
    <col min="3" max="3" width="10.36328125" bestFit="1" customWidth="1"/>
  </cols>
  <sheetData>
    <row r="1" spans="1:4" x14ac:dyDescent="0.35">
      <c r="A1" t="s">
        <v>224</v>
      </c>
      <c r="B1" t="s">
        <v>129</v>
      </c>
      <c r="C1" t="s">
        <v>234</v>
      </c>
      <c r="D1" t="s">
        <v>161</v>
      </c>
    </row>
    <row r="2" spans="1:4" x14ac:dyDescent="0.35">
      <c r="A2" t="s">
        <v>125</v>
      </c>
      <c r="B2">
        <f ca="1">RANDBETWEEN(0,10000)</f>
        <v>7152</v>
      </c>
      <c r="C2" t="s">
        <v>225</v>
      </c>
      <c r="D2" t="s">
        <v>227</v>
      </c>
    </row>
    <row r="3" spans="1:4" x14ac:dyDescent="0.35">
      <c r="A3" t="s">
        <v>126</v>
      </c>
      <c r="B3">
        <f t="shared" ref="B3:B66" ca="1" si="0">RANDBETWEEN(0,10000)</f>
        <v>5123</v>
      </c>
      <c r="C3" t="s">
        <v>225</v>
      </c>
      <c r="D3" t="s">
        <v>227</v>
      </c>
    </row>
    <row r="4" spans="1:4" x14ac:dyDescent="0.35">
      <c r="A4" t="s">
        <v>127</v>
      </c>
      <c r="B4">
        <f t="shared" ca="1" si="0"/>
        <v>8432</v>
      </c>
      <c r="C4" t="s">
        <v>225</v>
      </c>
      <c r="D4" t="s">
        <v>228</v>
      </c>
    </row>
    <row r="5" spans="1:4" x14ac:dyDescent="0.35">
      <c r="A5" t="s">
        <v>128</v>
      </c>
      <c r="B5">
        <f t="shared" ca="1" si="0"/>
        <v>7704</v>
      </c>
      <c r="C5" t="s">
        <v>225</v>
      </c>
      <c r="D5" t="s">
        <v>227</v>
      </c>
    </row>
    <row r="6" spans="1:4" x14ac:dyDescent="0.35">
      <c r="A6" t="s">
        <v>134</v>
      </c>
      <c r="B6">
        <f t="shared" ca="1" si="0"/>
        <v>8828</v>
      </c>
      <c r="C6" t="s">
        <v>226</v>
      </c>
      <c r="D6" t="s">
        <v>227</v>
      </c>
    </row>
    <row r="7" spans="1:4" x14ac:dyDescent="0.35">
      <c r="A7" t="s">
        <v>135</v>
      </c>
      <c r="B7">
        <f t="shared" ca="1" si="0"/>
        <v>8010</v>
      </c>
      <c r="C7" t="s">
        <v>226</v>
      </c>
      <c r="D7" t="s">
        <v>227</v>
      </c>
    </row>
    <row r="8" spans="1:4" x14ac:dyDescent="0.35">
      <c r="A8" t="s">
        <v>136</v>
      </c>
      <c r="B8">
        <f t="shared" ca="1" si="0"/>
        <v>7338</v>
      </c>
      <c r="C8" t="s">
        <v>226</v>
      </c>
      <c r="D8" t="s">
        <v>227</v>
      </c>
    </row>
    <row r="9" spans="1:4" x14ac:dyDescent="0.35">
      <c r="A9" t="s">
        <v>137</v>
      </c>
      <c r="B9">
        <f t="shared" ca="1" si="0"/>
        <v>8952</v>
      </c>
      <c r="C9" t="s">
        <v>226</v>
      </c>
      <c r="D9" t="s">
        <v>227</v>
      </c>
    </row>
    <row r="10" spans="1:4" x14ac:dyDescent="0.35">
      <c r="A10" t="s">
        <v>138</v>
      </c>
      <c r="B10">
        <f t="shared" ca="1" si="0"/>
        <v>3973</v>
      </c>
      <c r="C10" t="s">
        <v>226</v>
      </c>
      <c r="D10" t="s">
        <v>227</v>
      </c>
    </row>
    <row r="11" spans="1:4" x14ac:dyDescent="0.35">
      <c r="A11" t="s">
        <v>139</v>
      </c>
      <c r="B11">
        <f t="shared" ca="1" si="0"/>
        <v>8057</v>
      </c>
      <c r="C11" t="s">
        <v>226</v>
      </c>
      <c r="D11" t="s">
        <v>227</v>
      </c>
    </row>
    <row r="12" spans="1:4" x14ac:dyDescent="0.35">
      <c r="A12" t="s">
        <v>146</v>
      </c>
      <c r="B12">
        <f t="shared" ca="1" si="0"/>
        <v>6025</v>
      </c>
      <c r="C12" t="s">
        <v>244</v>
      </c>
      <c r="D12" t="s">
        <v>164</v>
      </c>
    </row>
    <row r="13" spans="1:4" x14ac:dyDescent="0.35">
      <c r="A13" t="s">
        <v>147</v>
      </c>
      <c r="B13">
        <f t="shared" ca="1" si="0"/>
        <v>9176</v>
      </c>
      <c r="C13" t="s">
        <v>244</v>
      </c>
      <c r="D13" t="s">
        <v>164</v>
      </c>
    </row>
    <row r="14" spans="1:4" x14ac:dyDescent="0.35">
      <c r="A14" t="s">
        <v>148</v>
      </c>
      <c r="B14">
        <f t="shared" ca="1" si="0"/>
        <v>5793</v>
      </c>
      <c r="C14" t="s">
        <v>244</v>
      </c>
      <c r="D14" t="s">
        <v>164</v>
      </c>
    </row>
    <row r="15" spans="1:4" x14ac:dyDescent="0.35">
      <c r="A15" t="s">
        <v>149</v>
      </c>
      <c r="B15">
        <f t="shared" ca="1" si="0"/>
        <v>1181</v>
      </c>
      <c r="C15" t="s">
        <v>244</v>
      </c>
      <c r="D15" t="s">
        <v>164</v>
      </c>
    </row>
    <row r="16" spans="1:4" x14ac:dyDescent="0.35">
      <c r="A16" t="s">
        <v>150</v>
      </c>
      <c r="B16">
        <f t="shared" ca="1" si="0"/>
        <v>1174</v>
      </c>
      <c r="C16" t="s">
        <v>244</v>
      </c>
      <c r="D16" t="s">
        <v>164</v>
      </c>
    </row>
    <row r="17" spans="1:4" x14ac:dyDescent="0.35">
      <c r="A17" t="s">
        <v>151</v>
      </c>
      <c r="B17">
        <f t="shared" ca="1" si="0"/>
        <v>3086</v>
      </c>
      <c r="C17" t="s">
        <v>244</v>
      </c>
      <c r="D17" t="s">
        <v>164</v>
      </c>
    </row>
    <row r="18" spans="1:4" x14ac:dyDescent="0.35">
      <c r="A18" t="s">
        <v>152</v>
      </c>
      <c r="B18">
        <f t="shared" ca="1" si="0"/>
        <v>5534</v>
      </c>
      <c r="C18" t="s">
        <v>244</v>
      </c>
      <c r="D18" t="s">
        <v>164</v>
      </c>
    </row>
    <row r="19" spans="1:4" x14ac:dyDescent="0.35">
      <c r="A19" t="s">
        <v>162</v>
      </c>
      <c r="B19">
        <f t="shared" ca="1" si="0"/>
        <v>7502</v>
      </c>
      <c r="C19" t="s">
        <v>244</v>
      </c>
      <c r="D19" t="s">
        <v>164</v>
      </c>
    </row>
    <row r="20" spans="1:4" x14ac:dyDescent="0.35">
      <c r="A20" t="s">
        <v>165</v>
      </c>
      <c r="B20">
        <f t="shared" ca="1" si="0"/>
        <v>7972</v>
      </c>
      <c r="C20" t="s">
        <v>244</v>
      </c>
      <c r="D20" t="s">
        <v>164</v>
      </c>
    </row>
    <row r="21" spans="1:4" x14ac:dyDescent="0.35">
      <c r="A21" t="s">
        <v>166</v>
      </c>
      <c r="B21">
        <f t="shared" ca="1" si="0"/>
        <v>1005</v>
      </c>
      <c r="C21" t="s">
        <v>244</v>
      </c>
      <c r="D21" t="s">
        <v>164</v>
      </c>
    </row>
    <row r="22" spans="1:4" x14ac:dyDescent="0.35">
      <c r="A22" t="s">
        <v>167</v>
      </c>
      <c r="B22">
        <f t="shared" ca="1" si="0"/>
        <v>2583</v>
      </c>
      <c r="C22" t="s">
        <v>244</v>
      </c>
      <c r="D22" t="s">
        <v>164</v>
      </c>
    </row>
    <row r="23" spans="1:4" x14ac:dyDescent="0.35">
      <c r="A23" t="s">
        <v>168</v>
      </c>
      <c r="B23">
        <f t="shared" ca="1" si="0"/>
        <v>8781</v>
      </c>
      <c r="C23" t="s">
        <v>244</v>
      </c>
      <c r="D23" t="s">
        <v>164</v>
      </c>
    </row>
    <row r="24" spans="1:4" x14ac:dyDescent="0.35">
      <c r="A24" t="s">
        <v>169</v>
      </c>
      <c r="B24">
        <f t="shared" ca="1" si="0"/>
        <v>1595</v>
      </c>
      <c r="C24" t="s">
        <v>244</v>
      </c>
      <c r="D24" t="s">
        <v>164</v>
      </c>
    </row>
    <row r="25" spans="1:4" x14ac:dyDescent="0.35">
      <c r="A25" t="s">
        <v>170</v>
      </c>
      <c r="B25">
        <f t="shared" ca="1" si="0"/>
        <v>5343</v>
      </c>
      <c r="C25" t="s">
        <v>244</v>
      </c>
      <c r="D25" t="s">
        <v>164</v>
      </c>
    </row>
    <row r="26" spans="1:4" x14ac:dyDescent="0.35">
      <c r="A26" t="s">
        <v>171</v>
      </c>
      <c r="B26">
        <f t="shared" ca="1" si="0"/>
        <v>2783</v>
      </c>
      <c r="C26" t="s">
        <v>244</v>
      </c>
      <c r="D26" t="s">
        <v>164</v>
      </c>
    </row>
    <row r="27" spans="1:4" x14ac:dyDescent="0.35">
      <c r="A27" t="s">
        <v>172</v>
      </c>
      <c r="B27">
        <f t="shared" ca="1" si="0"/>
        <v>6558</v>
      </c>
      <c r="C27" t="s">
        <v>244</v>
      </c>
      <c r="D27" t="s">
        <v>164</v>
      </c>
    </row>
    <row r="28" spans="1:4" x14ac:dyDescent="0.35">
      <c r="A28" t="s">
        <v>173</v>
      </c>
      <c r="B28">
        <f t="shared" ca="1" si="0"/>
        <v>2536</v>
      </c>
      <c r="C28" t="s">
        <v>244</v>
      </c>
      <c r="D28" t="s">
        <v>164</v>
      </c>
    </row>
    <row r="29" spans="1:4" x14ac:dyDescent="0.35">
      <c r="A29" t="s">
        <v>174</v>
      </c>
      <c r="B29">
        <f t="shared" ca="1" si="0"/>
        <v>7693</v>
      </c>
      <c r="C29" t="s">
        <v>244</v>
      </c>
      <c r="D29" t="s">
        <v>164</v>
      </c>
    </row>
    <row r="30" spans="1:4" x14ac:dyDescent="0.35">
      <c r="A30" t="s">
        <v>175</v>
      </c>
      <c r="B30">
        <f t="shared" ca="1" si="0"/>
        <v>5703</v>
      </c>
      <c r="C30" t="s">
        <v>244</v>
      </c>
      <c r="D30" t="s">
        <v>164</v>
      </c>
    </row>
    <row r="31" spans="1:4" x14ac:dyDescent="0.35">
      <c r="A31" t="s">
        <v>176</v>
      </c>
      <c r="B31">
        <f t="shared" ca="1" si="0"/>
        <v>4539</v>
      </c>
      <c r="C31" t="s">
        <v>244</v>
      </c>
      <c r="D31" t="s">
        <v>164</v>
      </c>
    </row>
    <row r="32" spans="1:4" x14ac:dyDescent="0.35">
      <c r="A32" t="s">
        <v>177</v>
      </c>
      <c r="B32">
        <f t="shared" ca="1" si="0"/>
        <v>7748</v>
      </c>
      <c r="C32" t="s">
        <v>244</v>
      </c>
      <c r="D32" t="s">
        <v>164</v>
      </c>
    </row>
    <row r="33" spans="1:4" x14ac:dyDescent="0.35">
      <c r="A33" t="s">
        <v>162</v>
      </c>
      <c r="B33">
        <f t="shared" ca="1" si="0"/>
        <v>4934</v>
      </c>
      <c r="C33" t="s">
        <v>244</v>
      </c>
      <c r="D33" t="s">
        <v>163</v>
      </c>
    </row>
    <row r="34" spans="1:4" x14ac:dyDescent="0.35">
      <c r="A34" t="s">
        <v>165</v>
      </c>
      <c r="B34">
        <f t="shared" ca="1" si="0"/>
        <v>793</v>
      </c>
      <c r="C34" t="s">
        <v>244</v>
      </c>
      <c r="D34" t="s">
        <v>163</v>
      </c>
    </row>
    <row r="35" spans="1:4" x14ac:dyDescent="0.35">
      <c r="A35" t="s">
        <v>166</v>
      </c>
      <c r="B35">
        <f t="shared" ca="1" si="0"/>
        <v>3966</v>
      </c>
      <c r="C35" t="s">
        <v>244</v>
      </c>
      <c r="D35" t="s">
        <v>163</v>
      </c>
    </row>
    <row r="36" spans="1:4" x14ac:dyDescent="0.35">
      <c r="A36" t="s">
        <v>167</v>
      </c>
      <c r="B36">
        <f t="shared" ca="1" si="0"/>
        <v>5306</v>
      </c>
      <c r="C36" t="s">
        <v>244</v>
      </c>
      <c r="D36" t="s">
        <v>163</v>
      </c>
    </row>
    <row r="37" spans="1:4" x14ac:dyDescent="0.35">
      <c r="A37" t="s">
        <v>168</v>
      </c>
      <c r="B37">
        <f t="shared" ca="1" si="0"/>
        <v>6175</v>
      </c>
      <c r="C37" t="s">
        <v>244</v>
      </c>
      <c r="D37" t="s">
        <v>163</v>
      </c>
    </row>
    <row r="38" spans="1:4" x14ac:dyDescent="0.35">
      <c r="A38" t="s">
        <v>169</v>
      </c>
      <c r="B38">
        <f t="shared" ca="1" si="0"/>
        <v>6855</v>
      </c>
      <c r="C38" t="s">
        <v>244</v>
      </c>
      <c r="D38" t="s">
        <v>163</v>
      </c>
    </row>
    <row r="39" spans="1:4" x14ac:dyDescent="0.35">
      <c r="A39" t="s">
        <v>170</v>
      </c>
      <c r="B39">
        <f t="shared" ca="1" si="0"/>
        <v>722</v>
      </c>
      <c r="C39" t="s">
        <v>244</v>
      </c>
      <c r="D39" t="s">
        <v>163</v>
      </c>
    </row>
    <row r="40" spans="1:4" x14ac:dyDescent="0.35">
      <c r="A40" t="s">
        <v>171</v>
      </c>
      <c r="B40">
        <f t="shared" ca="1" si="0"/>
        <v>4557</v>
      </c>
      <c r="C40" t="s">
        <v>244</v>
      </c>
      <c r="D40" t="s">
        <v>163</v>
      </c>
    </row>
    <row r="41" spans="1:4" x14ac:dyDescent="0.35">
      <c r="A41" t="s">
        <v>172</v>
      </c>
      <c r="B41">
        <f t="shared" ca="1" si="0"/>
        <v>2912</v>
      </c>
      <c r="C41" t="s">
        <v>244</v>
      </c>
      <c r="D41" t="s">
        <v>163</v>
      </c>
    </row>
    <row r="42" spans="1:4" x14ac:dyDescent="0.35">
      <c r="A42" t="s">
        <v>173</v>
      </c>
      <c r="B42">
        <f t="shared" ca="1" si="0"/>
        <v>2733</v>
      </c>
      <c r="C42" t="s">
        <v>244</v>
      </c>
      <c r="D42" t="s">
        <v>163</v>
      </c>
    </row>
    <row r="43" spans="1:4" x14ac:dyDescent="0.35">
      <c r="A43" t="s">
        <v>174</v>
      </c>
      <c r="B43">
        <f t="shared" ca="1" si="0"/>
        <v>6781</v>
      </c>
      <c r="C43" t="s">
        <v>244</v>
      </c>
      <c r="D43" t="s">
        <v>163</v>
      </c>
    </row>
    <row r="44" spans="1:4" x14ac:dyDescent="0.35">
      <c r="A44" t="s">
        <v>175</v>
      </c>
      <c r="B44">
        <f t="shared" ca="1" si="0"/>
        <v>1153</v>
      </c>
      <c r="C44" t="s">
        <v>244</v>
      </c>
      <c r="D44" t="s">
        <v>163</v>
      </c>
    </row>
    <row r="45" spans="1:4" x14ac:dyDescent="0.35">
      <c r="A45" t="s">
        <v>176</v>
      </c>
      <c r="B45">
        <f t="shared" ca="1" si="0"/>
        <v>9453</v>
      </c>
      <c r="C45" t="s">
        <v>244</v>
      </c>
      <c r="D45" t="s">
        <v>163</v>
      </c>
    </row>
    <row r="46" spans="1:4" x14ac:dyDescent="0.35">
      <c r="A46" t="s">
        <v>177</v>
      </c>
      <c r="B46">
        <f t="shared" ca="1" si="0"/>
        <v>4311</v>
      </c>
      <c r="C46" t="s">
        <v>244</v>
      </c>
      <c r="D46" t="s">
        <v>163</v>
      </c>
    </row>
    <row r="47" spans="1:4" x14ac:dyDescent="0.35">
      <c r="A47" t="s">
        <v>184</v>
      </c>
      <c r="B47">
        <f t="shared" ca="1" si="0"/>
        <v>6222</v>
      </c>
      <c r="C47" t="s">
        <v>244</v>
      </c>
      <c r="D47" t="s">
        <v>163</v>
      </c>
    </row>
    <row r="48" spans="1:4" x14ac:dyDescent="0.35">
      <c r="A48" t="s">
        <v>185</v>
      </c>
      <c r="B48">
        <f t="shared" ca="1" si="0"/>
        <v>1429</v>
      </c>
      <c r="C48" t="s">
        <v>244</v>
      </c>
      <c r="D48" t="s">
        <v>163</v>
      </c>
    </row>
    <row r="49" spans="1:4" x14ac:dyDescent="0.35">
      <c r="A49" t="s">
        <v>186</v>
      </c>
      <c r="B49">
        <f t="shared" ca="1" si="0"/>
        <v>3119</v>
      </c>
      <c r="C49" t="s">
        <v>244</v>
      </c>
      <c r="D49" t="s">
        <v>163</v>
      </c>
    </row>
    <row r="50" spans="1:4" x14ac:dyDescent="0.35">
      <c r="A50" t="s">
        <v>187</v>
      </c>
      <c r="B50">
        <f t="shared" ca="1" si="0"/>
        <v>1024</v>
      </c>
      <c r="C50" t="s">
        <v>244</v>
      </c>
      <c r="D50" t="s">
        <v>163</v>
      </c>
    </row>
    <row r="51" spans="1:4" x14ac:dyDescent="0.35">
      <c r="A51" t="s">
        <v>188</v>
      </c>
      <c r="B51">
        <f t="shared" ca="1" si="0"/>
        <v>4669</v>
      </c>
      <c r="C51" t="s">
        <v>244</v>
      </c>
      <c r="D51" t="s">
        <v>163</v>
      </c>
    </row>
    <row r="52" spans="1:4" x14ac:dyDescent="0.35">
      <c r="A52" t="s">
        <v>189</v>
      </c>
      <c r="B52">
        <f t="shared" ca="1" si="0"/>
        <v>508</v>
      </c>
      <c r="C52" t="s">
        <v>244</v>
      </c>
      <c r="D52" t="s">
        <v>163</v>
      </c>
    </row>
    <row r="53" spans="1:4" x14ac:dyDescent="0.35">
      <c r="A53" t="s">
        <v>190</v>
      </c>
      <c r="B53">
        <f t="shared" ca="1" si="0"/>
        <v>4609</v>
      </c>
      <c r="C53" t="s">
        <v>244</v>
      </c>
      <c r="D53" t="s">
        <v>163</v>
      </c>
    </row>
    <row r="54" spans="1:4" x14ac:dyDescent="0.35">
      <c r="A54" t="s">
        <v>198</v>
      </c>
      <c r="B54">
        <f t="shared" ca="1" si="0"/>
        <v>8643</v>
      </c>
      <c r="C54" t="s">
        <v>244</v>
      </c>
      <c r="D54" t="s">
        <v>164</v>
      </c>
    </row>
    <row r="55" spans="1:4" x14ac:dyDescent="0.35">
      <c r="A55" t="s">
        <v>199</v>
      </c>
      <c r="B55">
        <f t="shared" ca="1" si="0"/>
        <v>5973</v>
      </c>
      <c r="C55" t="s">
        <v>244</v>
      </c>
      <c r="D55" t="s">
        <v>164</v>
      </c>
    </row>
    <row r="56" spans="1:4" x14ac:dyDescent="0.35">
      <c r="A56" t="s">
        <v>200</v>
      </c>
      <c r="B56">
        <f t="shared" ca="1" si="0"/>
        <v>6284</v>
      </c>
      <c r="C56" t="s">
        <v>244</v>
      </c>
      <c r="D56" t="s">
        <v>164</v>
      </c>
    </row>
    <row r="57" spans="1:4" x14ac:dyDescent="0.35">
      <c r="A57" t="s">
        <v>201</v>
      </c>
      <c r="B57">
        <f t="shared" ca="1" si="0"/>
        <v>9456</v>
      </c>
      <c r="C57" t="s">
        <v>244</v>
      </c>
      <c r="D57" t="s">
        <v>164</v>
      </c>
    </row>
    <row r="58" spans="1:4" x14ac:dyDescent="0.35">
      <c r="A58" t="s">
        <v>202</v>
      </c>
      <c r="B58">
        <f t="shared" ca="1" si="0"/>
        <v>3230</v>
      </c>
      <c r="C58" t="s">
        <v>244</v>
      </c>
      <c r="D58" t="s">
        <v>164</v>
      </c>
    </row>
    <row r="59" spans="1:4" x14ac:dyDescent="0.35">
      <c r="A59" t="s">
        <v>203</v>
      </c>
      <c r="B59">
        <f t="shared" ca="1" si="0"/>
        <v>6928</v>
      </c>
      <c r="C59" t="s">
        <v>244</v>
      </c>
      <c r="D59" t="s">
        <v>164</v>
      </c>
    </row>
    <row r="60" spans="1:4" x14ac:dyDescent="0.35">
      <c r="A60" t="s">
        <v>204</v>
      </c>
      <c r="B60">
        <f t="shared" ca="1" si="0"/>
        <v>2997</v>
      </c>
      <c r="C60" t="s">
        <v>244</v>
      </c>
      <c r="D60" t="s">
        <v>164</v>
      </c>
    </row>
    <row r="61" spans="1:4" x14ac:dyDescent="0.35">
      <c r="A61" t="s">
        <v>205</v>
      </c>
      <c r="B61">
        <f t="shared" ca="1" si="0"/>
        <v>9785</v>
      </c>
      <c r="C61" t="s">
        <v>244</v>
      </c>
      <c r="D61" t="s">
        <v>164</v>
      </c>
    </row>
    <row r="62" spans="1:4" x14ac:dyDescent="0.35">
      <c r="A62" t="s">
        <v>198</v>
      </c>
      <c r="B62">
        <f t="shared" ca="1" si="0"/>
        <v>4118</v>
      </c>
      <c r="C62" t="s">
        <v>244</v>
      </c>
      <c r="D62" t="s">
        <v>229</v>
      </c>
    </row>
    <row r="63" spans="1:4" x14ac:dyDescent="0.35">
      <c r="A63" t="s">
        <v>199</v>
      </c>
      <c r="B63">
        <f t="shared" ca="1" si="0"/>
        <v>8307</v>
      </c>
      <c r="C63" t="s">
        <v>244</v>
      </c>
      <c r="D63" t="s">
        <v>229</v>
      </c>
    </row>
    <row r="64" spans="1:4" x14ac:dyDescent="0.35">
      <c r="A64" t="s">
        <v>200</v>
      </c>
      <c r="B64">
        <f t="shared" ca="1" si="0"/>
        <v>7126</v>
      </c>
      <c r="C64" t="s">
        <v>244</v>
      </c>
      <c r="D64" t="s">
        <v>229</v>
      </c>
    </row>
    <row r="65" spans="1:4" x14ac:dyDescent="0.35">
      <c r="A65" t="s">
        <v>201</v>
      </c>
      <c r="B65">
        <f t="shared" ca="1" si="0"/>
        <v>8466</v>
      </c>
      <c r="C65" t="s">
        <v>244</v>
      </c>
      <c r="D65" t="s">
        <v>229</v>
      </c>
    </row>
    <row r="66" spans="1:4" x14ac:dyDescent="0.35">
      <c r="A66" t="s">
        <v>202</v>
      </c>
      <c r="B66">
        <f t="shared" ca="1" si="0"/>
        <v>9118</v>
      </c>
      <c r="C66" t="s">
        <v>244</v>
      </c>
      <c r="D66" t="s">
        <v>229</v>
      </c>
    </row>
    <row r="67" spans="1:4" x14ac:dyDescent="0.35">
      <c r="A67" t="s">
        <v>203</v>
      </c>
      <c r="B67">
        <f t="shared" ref="B67:B69" ca="1" si="1">RANDBETWEEN(0,10000)</f>
        <v>4423</v>
      </c>
      <c r="C67" t="s">
        <v>244</v>
      </c>
      <c r="D67" t="s">
        <v>229</v>
      </c>
    </row>
    <row r="68" spans="1:4" x14ac:dyDescent="0.35">
      <c r="A68" t="s">
        <v>204</v>
      </c>
      <c r="B68">
        <f t="shared" ca="1" si="1"/>
        <v>2172</v>
      </c>
      <c r="C68" t="s">
        <v>244</v>
      </c>
      <c r="D68" t="s">
        <v>229</v>
      </c>
    </row>
    <row r="69" spans="1:4" x14ac:dyDescent="0.35">
      <c r="A69" t="s">
        <v>205</v>
      </c>
      <c r="B69">
        <f t="shared" ca="1" si="1"/>
        <v>9180</v>
      </c>
      <c r="C69" t="s">
        <v>244</v>
      </c>
      <c r="D69" t="s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D8B4D-F4DE-4209-8AD6-14E634F61C4A}">
  <dimension ref="A1:F69"/>
  <sheetViews>
    <sheetView zoomScale="87" workbookViewId="0">
      <selection activeCell="F43" sqref="F43"/>
    </sheetView>
  </sheetViews>
  <sheetFormatPr defaultRowHeight="14.5" x14ac:dyDescent="0.35"/>
  <cols>
    <col min="1" max="1" width="33.90625" bestFit="1" customWidth="1"/>
    <col min="2" max="4" width="9.81640625" style="3" bestFit="1" customWidth="1"/>
  </cols>
  <sheetData>
    <row r="1" spans="1:6" x14ac:dyDescent="0.35">
      <c r="A1" t="s">
        <v>224</v>
      </c>
      <c r="B1" s="3" t="s">
        <v>122</v>
      </c>
      <c r="C1" s="3" t="s">
        <v>123</v>
      </c>
      <c r="D1" s="3" t="s">
        <v>124</v>
      </c>
      <c r="E1" t="s">
        <v>234</v>
      </c>
      <c r="F1" t="s">
        <v>161</v>
      </c>
    </row>
    <row r="2" spans="1:6" x14ac:dyDescent="0.35">
      <c r="A2" t="s">
        <v>125</v>
      </c>
      <c r="B2" s="3">
        <f ca="1">RANDBETWEEN(0,40000)</f>
        <v>15999</v>
      </c>
      <c r="C2" s="3">
        <f ca="1">RANDBETWEEN(0,40000)</f>
        <v>33560</v>
      </c>
      <c r="D2" s="3">
        <f ca="1">RANDBETWEEN(0,40000)</f>
        <v>16687</v>
      </c>
      <c r="E2" t="s">
        <v>225</v>
      </c>
      <c r="F2" t="s">
        <v>227</v>
      </c>
    </row>
    <row r="3" spans="1:6" x14ac:dyDescent="0.35">
      <c r="A3" t="s">
        <v>126</v>
      </c>
      <c r="B3" s="3">
        <f t="shared" ref="B3:D66" ca="1" si="0">RANDBETWEEN(0,40000)</f>
        <v>6268</v>
      </c>
      <c r="C3" s="3">
        <f t="shared" ca="1" si="0"/>
        <v>13913</v>
      </c>
      <c r="D3" s="3">
        <f t="shared" ca="1" si="0"/>
        <v>28467</v>
      </c>
      <c r="E3" t="s">
        <v>225</v>
      </c>
      <c r="F3" t="s">
        <v>227</v>
      </c>
    </row>
    <row r="4" spans="1:6" x14ac:dyDescent="0.35">
      <c r="A4" t="s">
        <v>127</v>
      </c>
      <c r="B4" s="3">
        <f t="shared" ca="1" si="0"/>
        <v>39016</v>
      </c>
      <c r="C4" s="3">
        <f t="shared" ca="1" si="0"/>
        <v>27148</v>
      </c>
      <c r="D4" s="3">
        <f t="shared" ca="1" si="0"/>
        <v>36312</v>
      </c>
      <c r="E4" t="s">
        <v>225</v>
      </c>
      <c r="F4" t="s">
        <v>228</v>
      </c>
    </row>
    <row r="5" spans="1:6" x14ac:dyDescent="0.35">
      <c r="A5" t="s">
        <v>128</v>
      </c>
      <c r="B5" s="3">
        <f t="shared" ca="1" si="0"/>
        <v>10698</v>
      </c>
      <c r="C5" s="3">
        <f t="shared" ca="1" si="0"/>
        <v>26244</v>
      </c>
      <c r="D5" s="3">
        <f t="shared" ca="1" si="0"/>
        <v>8144</v>
      </c>
      <c r="E5" t="s">
        <v>225</v>
      </c>
      <c r="F5" t="s">
        <v>227</v>
      </c>
    </row>
    <row r="6" spans="1:6" x14ac:dyDescent="0.35">
      <c r="A6" t="s">
        <v>134</v>
      </c>
      <c r="B6" s="3">
        <f t="shared" ca="1" si="0"/>
        <v>6437</v>
      </c>
      <c r="C6" s="3">
        <f t="shared" ca="1" si="0"/>
        <v>5289</v>
      </c>
      <c r="D6" s="3">
        <f t="shared" ca="1" si="0"/>
        <v>14499</v>
      </c>
      <c r="E6" t="s">
        <v>226</v>
      </c>
      <c r="F6" t="s">
        <v>227</v>
      </c>
    </row>
    <row r="7" spans="1:6" x14ac:dyDescent="0.35">
      <c r="A7" t="s">
        <v>135</v>
      </c>
      <c r="B7" s="3">
        <f t="shared" ca="1" si="0"/>
        <v>14134</v>
      </c>
      <c r="C7" s="3">
        <f t="shared" ca="1" si="0"/>
        <v>21886</v>
      </c>
      <c r="D7" s="3">
        <f t="shared" ca="1" si="0"/>
        <v>33420</v>
      </c>
      <c r="E7" t="s">
        <v>226</v>
      </c>
      <c r="F7" t="s">
        <v>227</v>
      </c>
    </row>
    <row r="8" spans="1:6" x14ac:dyDescent="0.35">
      <c r="A8" t="s">
        <v>136</v>
      </c>
      <c r="B8" s="3">
        <f t="shared" ca="1" si="0"/>
        <v>22326</v>
      </c>
      <c r="C8" s="3">
        <f t="shared" ca="1" si="0"/>
        <v>14725</v>
      </c>
      <c r="D8" s="3">
        <f t="shared" ca="1" si="0"/>
        <v>2782</v>
      </c>
      <c r="E8" t="s">
        <v>226</v>
      </c>
      <c r="F8" t="s">
        <v>227</v>
      </c>
    </row>
    <row r="9" spans="1:6" x14ac:dyDescent="0.35">
      <c r="A9" t="s">
        <v>137</v>
      </c>
      <c r="B9" s="3">
        <f t="shared" ca="1" si="0"/>
        <v>17771</v>
      </c>
      <c r="C9" s="3">
        <f t="shared" ca="1" si="0"/>
        <v>25093</v>
      </c>
      <c r="D9" s="3">
        <f t="shared" ca="1" si="0"/>
        <v>15359</v>
      </c>
      <c r="E9" t="s">
        <v>226</v>
      </c>
      <c r="F9" t="s">
        <v>227</v>
      </c>
    </row>
    <row r="10" spans="1:6" x14ac:dyDescent="0.35">
      <c r="A10" t="s">
        <v>138</v>
      </c>
      <c r="B10" s="3">
        <f t="shared" ca="1" si="0"/>
        <v>30554</v>
      </c>
      <c r="C10" s="3">
        <f t="shared" ca="1" si="0"/>
        <v>10061</v>
      </c>
      <c r="D10" s="3">
        <f t="shared" ca="1" si="0"/>
        <v>23555</v>
      </c>
      <c r="E10" t="s">
        <v>226</v>
      </c>
      <c r="F10" t="s">
        <v>227</v>
      </c>
    </row>
    <row r="11" spans="1:6" x14ac:dyDescent="0.35">
      <c r="A11" t="s">
        <v>139</v>
      </c>
      <c r="B11" s="3">
        <f t="shared" ca="1" si="0"/>
        <v>230</v>
      </c>
      <c r="C11" s="3">
        <f t="shared" ca="1" si="0"/>
        <v>38214</v>
      </c>
      <c r="D11" s="3">
        <f t="shared" ca="1" si="0"/>
        <v>26795</v>
      </c>
      <c r="E11" t="s">
        <v>226</v>
      </c>
      <c r="F11" t="s">
        <v>227</v>
      </c>
    </row>
    <row r="12" spans="1:6" x14ac:dyDescent="0.35">
      <c r="A12" t="s">
        <v>146</v>
      </c>
      <c r="B12" s="3">
        <f t="shared" ca="1" si="0"/>
        <v>5946</v>
      </c>
      <c r="C12" s="3">
        <f t="shared" ca="1" si="0"/>
        <v>36827</v>
      </c>
      <c r="D12" s="3">
        <f t="shared" ca="1" si="0"/>
        <v>22178</v>
      </c>
      <c r="E12" t="s">
        <v>244</v>
      </c>
      <c r="F12" t="s">
        <v>164</v>
      </c>
    </row>
    <row r="13" spans="1:6" x14ac:dyDescent="0.35">
      <c r="A13" t="s">
        <v>147</v>
      </c>
      <c r="B13" s="3">
        <f t="shared" ca="1" si="0"/>
        <v>21673</v>
      </c>
      <c r="C13" s="3">
        <f t="shared" ca="1" si="0"/>
        <v>24122</v>
      </c>
      <c r="D13" s="3">
        <f t="shared" ca="1" si="0"/>
        <v>29425</v>
      </c>
      <c r="E13" t="s">
        <v>244</v>
      </c>
      <c r="F13" t="s">
        <v>164</v>
      </c>
    </row>
    <row r="14" spans="1:6" x14ac:dyDescent="0.35">
      <c r="A14" t="s">
        <v>148</v>
      </c>
      <c r="B14" s="3">
        <f t="shared" ca="1" si="0"/>
        <v>8943</v>
      </c>
      <c r="C14" s="3">
        <f t="shared" ca="1" si="0"/>
        <v>21829</v>
      </c>
      <c r="D14" s="3">
        <f t="shared" ca="1" si="0"/>
        <v>36836</v>
      </c>
      <c r="E14" t="s">
        <v>244</v>
      </c>
      <c r="F14" t="s">
        <v>164</v>
      </c>
    </row>
    <row r="15" spans="1:6" x14ac:dyDescent="0.35">
      <c r="A15" t="s">
        <v>149</v>
      </c>
      <c r="B15" s="3">
        <f t="shared" ca="1" si="0"/>
        <v>38413</v>
      </c>
      <c r="C15" s="3">
        <f t="shared" ca="1" si="0"/>
        <v>38218</v>
      </c>
      <c r="D15" s="3">
        <f t="shared" ca="1" si="0"/>
        <v>30872</v>
      </c>
      <c r="E15" t="s">
        <v>244</v>
      </c>
      <c r="F15" t="s">
        <v>164</v>
      </c>
    </row>
    <row r="16" spans="1:6" x14ac:dyDescent="0.35">
      <c r="A16" t="s">
        <v>150</v>
      </c>
      <c r="B16" s="3">
        <f t="shared" ca="1" si="0"/>
        <v>27854</v>
      </c>
      <c r="C16" s="3">
        <f t="shared" ca="1" si="0"/>
        <v>27288</v>
      </c>
      <c r="D16" s="3">
        <f t="shared" ca="1" si="0"/>
        <v>2320</v>
      </c>
      <c r="E16" t="s">
        <v>244</v>
      </c>
      <c r="F16" t="s">
        <v>164</v>
      </c>
    </row>
    <row r="17" spans="1:6" x14ac:dyDescent="0.35">
      <c r="A17" t="s">
        <v>151</v>
      </c>
      <c r="B17" s="3">
        <f t="shared" ca="1" si="0"/>
        <v>34409</v>
      </c>
      <c r="C17" s="3">
        <f t="shared" ca="1" si="0"/>
        <v>34748</v>
      </c>
      <c r="D17" s="3">
        <f t="shared" ca="1" si="0"/>
        <v>2627</v>
      </c>
      <c r="E17" t="s">
        <v>244</v>
      </c>
      <c r="F17" t="s">
        <v>164</v>
      </c>
    </row>
    <row r="18" spans="1:6" x14ac:dyDescent="0.35">
      <c r="A18" t="s">
        <v>152</v>
      </c>
      <c r="B18" s="3">
        <f t="shared" ca="1" si="0"/>
        <v>17931</v>
      </c>
      <c r="C18" s="3">
        <f t="shared" ca="1" si="0"/>
        <v>32008</v>
      </c>
      <c r="D18" s="3">
        <f t="shared" ca="1" si="0"/>
        <v>6366</v>
      </c>
      <c r="E18" t="s">
        <v>244</v>
      </c>
      <c r="F18" t="s">
        <v>164</v>
      </c>
    </row>
    <row r="19" spans="1:6" x14ac:dyDescent="0.35">
      <c r="A19" t="s">
        <v>184</v>
      </c>
      <c r="B19" s="3">
        <f t="shared" ca="1" si="0"/>
        <v>31174</v>
      </c>
      <c r="C19" s="3">
        <f t="shared" ca="1" si="0"/>
        <v>23665</v>
      </c>
      <c r="D19" s="3">
        <f t="shared" ca="1" si="0"/>
        <v>26252</v>
      </c>
      <c r="E19" t="s">
        <v>244</v>
      </c>
      <c r="F19" t="s">
        <v>163</v>
      </c>
    </row>
    <row r="20" spans="1:6" x14ac:dyDescent="0.35">
      <c r="A20" t="s">
        <v>185</v>
      </c>
      <c r="B20" s="3">
        <f t="shared" ca="1" si="0"/>
        <v>15380</v>
      </c>
      <c r="C20" s="3">
        <f t="shared" ca="1" si="0"/>
        <v>32336</v>
      </c>
      <c r="D20" s="3">
        <f t="shared" ca="1" si="0"/>
        <v>22060</v>
      </c>
      <c r="E20" t="s">
        <v>244</v>
      </c>
      <c r="F20" t="s">
        <v>163</v>
      </c>
    </row>
    <row r="21" spans="1:6" x14ac:dyDescent="0.35">
      <c r="A21" t="s">
        <v>186</v>
      </c>
      <c r="B21" s="3">
        <f t="shared" ca="1" si="0"/>
        <v>35063</v>
      </c>
      <c r="C21" s="3">
        <f t="shared" ca="1" si="0"/>
        <v>18186</v>
      </c>
      <c r="D21" s="3">
        <f t="shared" ca="1" si="0"/>
        <v>18920</v>
      </c>
      <c r="E21" t="s">
        <v>244</v>
      </c>
      <c r="F21" t="s">
        <v>163</v>
      </c>
    </row>
    <row r="22" spans="1:6" x14ac:dyDescent="0.35">
      <c r="A22" t="s">
        <v>187</v>
      </c>
      <c r="B22" s="3">
        <f t="shared" ca="1" si="0"/>
        <v>9462</v>
      </c>
      <c r="C22" s="3">
        <f t="shared" ca="1" si="0"/>
        <v>26016</v>
      </c>
      <c r="D22" s="3">
        <f t="shared" ca="1" si="0"/>
        <v>39415</v>
      </c>
      <c r="E22" t="s">
        <v>244</v>
      </c>
      <c r="F22" t="s">
        <v>163</v>
      </c>
    </row>
    <row r="23" spans="1:6" x14ac:dyDescent="0.35">
      <c r="A23" t="s">
        <v>188</v>
      </c>
      <c r="B23" s="3">
        <f t="shared" ca="1" si="0"/>
        <v>5686</v>
      </c>
      <c r="C23" s="3">
        <f t="shared" ca="1" si="0"/>
        <v>32293</v>
      </c>
      <c r="D23" s="3">
        <f t="shared" ca="1" si="0"/>
        <v>29851</v>
      </c>
      <c r="E23" t="s">
        <v>244</v>
      </c>
      <c r="F23" t="s">
        <v>163</v>
      </c>
    </row>
    <row r="24" spans="1:6" x14ac:dyDescent="0.35">
      <c r="A24" t="s">
        <v>189</v>
      </c>
      <c r="B24" s="3">
        <f t="shared" ca="1" si="0"/>
        <v>25626</v>
      </c>
      <c r="C24" s="3">
        <f t="shared" ca="1" si="0"/>
        <v>39191</v>
      </c>
      <c r="D24" s="3">
        <f t="shared" ca="1" si="0"/>
        <v>13443</v>
      </c>
      <c r="E24" t="s">
        <v>244</v>
      </c>
      <c r="F24" t="s">
        <v>163</v>
      </c>
    </row>
    <row r="25" spans="1:6" x14ac:dyDescent="0.35">
      <c r="A25" t="s">
        <v>190</v>
      </c>
      <c r="B25" s="3">
        <f t="shared" ca="1" si="0"/>
        <v>27426</v>
      </c>
      <c r="C25" s="3">
        <f t="shared" ca="1" si="0"/>
        <v>16264</v>
      </c>
      <c r="D25" s="3">
        <f t="shared" ca="1" si="0"/>
        <v>38318</v>
      </c>
      <c r="E25" t="s">
        <v>244</v>
      </c>
      <c r="F25" t="s">
        <v>163</v>
      </c>
    </row>
    <row r="26" spans="1:6" x14ac:dyDescent="0.35">
      <c r="A26" t="s">
        <v>198</v>
      </c>
      <c r="B26" s="3">
        <f t="shared" ca="1" si="0"/>
        <v>8782</v>
      </c>
      <c r="C26" s="3">
        <f t="shared" ca="1" si="0"/>
        <v>17096</v>
      </c>
      <c r="D26" s="3">
        <f t="shared" ca="1" si="0"/>
        <v>15992</v>
      </c>
      <c r="E26" t="s">
        <v>244</v>
      </c>
      <c r="F26" t="s">
        <v>164</v>
      </c>
    </row>
    <row r="27" spans="1:6" x14ac:dyDescent="0.35">
      <c r="A27" t="s">
        <v>199</v>
      </c>
      <c r="B27" s="3">
        <f t="shared" ca="1" si="0"/>
        <v>15246</v>
      </c>
      <c r="C27" s="3">
        <f t="shared" ca="1" si="0"/>
        <v>7736</v>
      </c>
      <c r="D27" s="3">
        <f t="shared" ca="1" si="0"/>
        <v>31927</v>
      </c>
      <c r="E27" t="s">
        <v>244</v>
      </c>
      <c r="F27" t="s">
        <v>164</v>
      </c>
    </row>
    <row r="28" spans="1:6" x14ac:dyDescent="0.35">
      <c r="A28" t="s">
        <v>200</v>
      </c>
      <c r="B28" s="3">
        <f t="shared" ca="1" si="0"/>
        <v>1611</v>
      </c>
      <c r="C28" s="3">
        <f t="shared" ca="1" si="0"/>
        <v>12891</v>
      </c>
      <c r="D28" s="3">
        <f t="shared" ca="1" si="0"/>
        <v>12660</v>
      </c>
      <c r="E28" t="s">
        <v>244</v>
      </c>
      <c r="F28" t="s">
        <v>164</v>
      </c>
    </row>
    <row r="29" spans="1:6" x14ac:dyDescent="0.35">
      <c r="A29" t="s">
        <v>201</v>
      </c>
      <c r="B29" s="3">
        <f t="shared" ca="1" si="0"/>
        <v>32548</v>
      </c>
      <c r="C29" s="3">
        <f t="shared" ca="1" si="0"/>
        <v>514</v>
      </c>
      <c r="D29" s="3">
        <f t="shared" ca="1" si="0"/>
        <v>39862</v>
      </c>
      <c r="E29" t="s">
        <v>244</v>
      </c>
      <c r="F29" t="s">
        <v>164</v>
      </c>
    </row>
    <row r="30" spans="1:6" x14ac:dyDescent="0.35">
      <c r="A30" t="s">
        <v>202</v>
      </c>
      <c r="B30" s="3">
        <f t="shared" ca="1" si="0"/>
        <v>621</v>
      </c>
      <c r="C30" s="3">
        <f t="shared" ca="1" si="0"/>
        <v>21440</v>
      </c>
      <c r="D30" s="3">
        <f t="shared" ca="1" si="0"/>
        <v>37076</v>
      </c>
      <c r="E30" t="s">
        <v>244</v>
      </c>
      <c r="F30" t="s">
        <v>164</v>
      </c>
    </row>
    <row r="31" spans="1:6" x14ac:dyDescent="0.35">
      <c r="A31" t="s">
        <v>203</v>
      </c>
      <c r="B31" s="3">
        <f t="shared" ca="1" si="0"/>
        <v>38179</v>
      </c>
      <c r="C31" s="3">
        <f t="shared" ca="1" si="0"/>
        <v>39660</v>
      </c>
      <c r="D31" s="3">
        <f t="shared" ca="1" si="0"/>
        <v>14996</v>
      </c>
      <c r="E31" t="s">
        <v>244</v>
      </c>
      <c r="F31" t="s">
        <v>164</v>
      </c>
    </row>
    <row r="32" spans="1:6" x14ac:dyDescent="0.35">
      <c r="A32" t="s">
        <v>204</v>
      </c>
      <c r="B32" s="3">
        <f t="shared" ca="1" si="0"/>
        <v>29919</v>
      </c>
      <c r="C32" s="3">
        <f t="shared" ca="1" si="0"/>
        <v>13207</v>
      </c>
      <c r="D32" s="3">
        <f t="shared" ca="1" si="0"/>
        <v>3220</v>
      </c>
      <c r="E32" t="s">
        <v>244</v>
      </c>
      <c r="F32" t="s">
        <v>164</v>
      </c>
    </row>
    <row r="33" spans="1:6" x14ac:dyDescent="0.35">
      <c r="A33" t="s">
        <v>205</v>
      </c>
      <c r="B33" s="3">
        <f t="shared" ca="1" si="0"/>
        <v>17168</v>
      </c>
      <c r="C33" s="3">
        <f t="shared" ca="1" si="0"/>
        <v>13900</v>
      </c>
      <c r="D33" s="3">
        <f t="shared" ca="1" si="0"/>
        <v>34892</v>
      </c>
      <c r="E33" t="s">
        <v>244</v>
      </c>
      <c r="F33" t="s">
        <v>164</v>
      </c>
    </row>
    <row r="34" spans="1:6" x14ac:dyDescent="0.35">
      <c r="A34" t="s">
        <v>198</v>
      </c>
      <c r="B34" s="3">
        <f t="shared" ca="1" si="0"/>
        <v>13690</v>
      </c>
      <c r="C34" s="3">
        <f t="shared" ca="1" si="0"/>
        <v>19973</v>
      </c>
      <c r="D34" s="3">
        <f t="shared" ca="1" si="0"/>
        <v>9825</v>
      </c>
      <c r="E34" t="s">
        <v>244</v>
      </c>
      <c r="F34" t="s">
        <v>229</v>
      </c>
    </row>
    <row r="35" spans="1:6" x14ac:dyDescent="0.35">
      <c r="A35" t="s">
        <v>199</v>
      </c>
      <c r="B35" s="3">
        <f t="shared" ca="1" si="0"/>
        <v>9850</v>
      </c>
      <c r="C35" s="3">
        <f t="shared" ca="1" si="0"/>
        <v>28125</v>
      </c>
      <c r="D35" s="3">
        <f t="shared" ca="1" si="0"/>
        <v>4560</v>
      </c>
      <c r="E35" t="s">
        <v>244</v>
      </c>
      <c r="F35" t="s">
        <v>229</v>
      </c>
    </row>
    <row r="36" spans="1:6" x14ac:dyDescent="0.35">
      <c r="A36" t="s">
        <v>200</v>
      </c>
      <c r="B36" s="3">
        <f t="shared" ca="1" si="0"/>
        <v>8989</v>
      </c>
      <c r="C36" s="3">
        <f t="shared" ca="1" si="0"/>
        <v>1988</v>
      </c>
      <c r="D36" s="3">
        <f t="shared" ca="1" si="0"/>
        <v>14601</v>
      </c>
      <c r="E36" t="s">
        <v>244</v>
      </c>
      <c r="F36" t="s">
        <v>229</v>
      </c>
    </row>
    <row r="37" spans="1:6" x14ac:dyDescent="0.35">
      <c r="A37" t="s">
        <v>201</v>
      </c>
      <c r="B37" s="3">
        <f t="shared" ca="1" si="0"/>
        <v>27262</v>
      </c>
      <c r="C37" s="3">
        <f t="shared" ca="1" si="0"/>
        <v>7827</v>
      </c>
      <c r="D37" s="3">
        <f t="shared" ca="1" si="0"/>
        <v>8585</v>
      </c>
      <c r="E37" t="s">
        <v>244</v>
      </c>
      <c r="F37" t="s">
        <v>229</v>
      </c>
    </row>
    <row r="38" spans="1:6" x14ac:dyDescent="0.35">
      <c r="A38" t="s">
        <v>202</v>
      </c>
      <c r="B38" s="3">
        <f t="shared" ca="1" si="0"/>
        <v>23520</v>
      </c>
      <c r="C38" s="3">
        <f t="shared" ca="1" si="0"/>
        <v>24125</v>
      </c>
      <c r="D38" s="3">
        <f t="shared" ca="1" si="0"/>
        <v>8882</v>
      </c>
      <c r="E38" t="s">
        <v>244</v>
      </c>
      <c r="F38" t="s">
        <v>229</v>
      </c>
    </row>
    <row r="39" spans="1:6" x14ac:dyDescent="0.35">
      <c r="A39" t="s">
        <v>203</v>
      </c>
      <c r="B39" s="3">
        <f t="shared" ca="1" si="0"/>
        <v>24173</v>
      </c>
      <c r="C39" s="3">
        <f t="shared" ca="1" si="0"/>
        <v>7445</v>
      </c>
      <c r="D39" s="3">
        <f t="shared" ca="1" si="0"/>
        <v>29084</v>
      </c>
      <c r="E39" t="s">
        <v>244</v>
      </c>
      <c r="F39" t="s">
        <v>229</v>
      </c>
    </row>
    <row r="40" spans="1:6" x14ac:dyDescent="0.35">
      <c r="A40" t="s">
        <v>204</v>
      </c>
      <c r="B40" s="3">
        <f t="shared" ca="1" si="0"/>
        <v>31253</v>
      </c>
      <c r="C40" s="3">
        <f t="shared" ca="1" si="0"/>
        <v>26584</v>
      </c>
      <c r="D40" s="3">
        <f t="shared" ca="1" si="0"/>
        <v>1850</v>
      </c>
      <c r="E40" t="s">
        <v>244</v>
      </c>
      <c r="F40" t="s">
        <v>229</v>
      </c>
    </row>
    <row r="41" spans="1:6" x14ac:dyDescent="0.35">
      <c r="A41" t="s">
        <v>205</v>
      </c>
      <c r="B41" s="3">
        <f t="shared" ca="1" si="0"/>
        <v>36516</v>
      </c>
      <c r="C41" s="3">
        <f t="shared" ca="1" si="0"/>
        <v>5413</v>
      </c>
      <c r="D41" s="3">
        <f t="shared" ca="1" si="0"/>
        <v>26517</v>
      </c>
      <c r="E41" t="s">
        <v>244</v>
      </c>
      <c r="F41" t="s">
        <v>229</v>
      </c>
    </row>
    <row r="42" spans="1:6" x14ac:dyDescent="0.35">
      <c r="A42" t="s">
        <v>162</v>
      </c>
      <c r="B42" s="3">
        <f t="shared" ca="1" si="0"/>
        <v>15514</v>
      </c>
      <c r="C42" s="3">
        <f t="shared" ca="1" si="0"/>
        <v>30967</v>
      </c>
      <c r="D42" s="3">
        <f t="shared" ca="1" si="0"/>
        <v>5348</v>
      </c>
      <c r="E42" t="s">
        <v>244</v>
      </c>
      <c r="F42" t="s">
        <v>163</v>
      </c>
    </row>
    <row r="43" spans="1:6" x14ac:dyDescent="0.35">
      <c r="A43" t="s">
        <v>165</v>
      </c>
      <c r="B43" s="3">
        <f t="shared" ca="1" si="0"/>
        <v>39048</v>
      </c>
      <c r="C43" s="3">
        <f t="shared" ca="1" si="0"/>
        <v>17274</v>
      </c>
      <c r="D43" s="3">
        <f t="shared" ca="1" si="0"/>
        <v>26359</v>
      </c>
      <c r="E43" t="s">
        <v>244</v>
      </c>
      <c r="F43" t="s">
        <v>163</v>
      </c>
    </row>
    <row r="44" spans="1:6" x14ac:dyDescent="0.35">
      <c r="A44" t="s">
        <v>166</v>
      </c>
      <c r="B44" s="3">
        <f t="shared" ca="1" si="0"/>
        <v>17258</v>
      </c>
      <c r="C44" s="3">
        <f t="shared" ca="1" si="0"/>
        <v>35781</v>
      </c>
      <c r="D44" s="3">
        <f t="shared" ca="1" si="0"/>
        <v>34808</v>
      </c>
      <c r="E44" t="s">
        <v>244</v>
      </c>
      <c r="F44" t="s">
        <v>163</v>
      </c>
    </row>
    <row r="45" spans="1:6" x14ac:dyDescent="0.35">
      <c r="A45" t="s">
        <v>167</v>
      </c>
      <c r="B45" s="3">
        <f t="shared" ca="1" si="0"/>
        <v>36977</v>
      </c>
      <c r="C45" s="3">
        <f t="shared" ca="1" si="0"/>
        <v>10742</v>
      </c>
      <c r="D45" s="3">
        <f t="shared" ca="1" si="0"/>
        <v>27120</v>
      </c>
      <c r="E45" t="s">
        <v>244</v>
      </c>
      <c r="F45" t="s">
        <v>163</v>
      </c>
    </row>
    <row r="46" spans="1:6" x14ac:dyDescent="0.35">
      <c r="A46" t="s">
        <v>168</v>
      </c>
      <c r="B46" s="3">
        <f t="shared" ca="1" si="0"/>
        <v>3262</v>
      </c>
      <c r="C46" s="3">
        <f t="shared" ca="1" si="0"/>
        <v>18638</v>
      </c>
      <c r="D46" s="3">
        <f t="shared" ca="1" si="0"/>
        <v>30311</v>
      </c>
      <c r="E46" t="s">
        <v>244</v>
      </c>
      <c r="F46" t="s">
        <v>163</v>
      </c>
    </row>
    <row r="47" spans="1:6" x14ac:dyDescent="0.35">
      <c r="A47" t="s">
        <v>169</v>
      </c>
      <c r="B47" s="3">
        <f t="shared" ca="1" si="0"/>
        <v>16977</v>
      </c>
      <c r="C47" s="3">
        <f t="shared" ca="1" si="0"/>
        <v>20532</v>
      </c>
      <c r="D47" s="3">
        <f t="shared" ca="1" si="0"/>
        <v>37310</v>
      </c>
      <c r="E47" t="s">
        <v>244</v>
      </c>
      <c r="F47" t="s">
        <v>163</v>
      </c>
    </row>
    <row r="48" spans="1:6" x14ac:dyDescent="0.35">
      <c r="A48" t="s">
        <v>170</v>
      </c>
      <c r="B48" s="3">
        <f t="shared" ca="1" si="0"/>
        <v>6998</v>
      </c>
      <c r="C48" s="3">
        <f t="shared" ca="1" si="0"/>
        <v>35483</v>
      </c>
      <c r="D48" s="3">
        <f t="shared" ca="1" si="0"/>
        <v>10458</v>
      </c>
      <c r="E48" t="s">
        <v>244</v>
      </c>
      <c r="F48" t="s">
        <v>163</v>
      </c>
    </row>
    <row r="49" spans="1:6" x14ac:dyDescent="0.35">
      <c r="A49" t="s">
        <v>171</v>
      </c>
      <c r="B49" s="3">
        <f t="shared" ca="1" si="0"/>
        <v>20061</v>
      </c>
      <c r="C49" s="3">
        <f t="shared" ca="1" si="0"/>
        <v>35237</v>
      </c>
      <c r="D49" s="3">
        <f t="shared" ca="1" si="0"/>
        <v>25710</v>
      </c>
      <c r="E49" t="s">
        <v>244</v>
      </c>
      <c r="F49" t="s">
        <v>163</v>
      </c>
    </row>
    <row r="50" spans="1:6" x14ac:dyDescent="0.35">
      <c r="A50" t="s">
        <v>172</v>
      </c>
      <c r="B50" s="3">
        <f t="shared" ca="1" si="0"/>
        <v>16421</v>
      </c>
      <c r="C50" s="3">
        <f t="shared" ca="1" si="0"/>
        <v>28499</v>
      </c>
      <c r="D50" s="3">
        <f t="shared" ca="1" si="0"/>
        <v>17778</v>
      </c>
      <c r="E50" t="s">
        <v>244</v>
      </c>
      <c r="F50" t="s">
        <v>163</v>
      </c>
    </row>
    <row r="51" spans="1:6" x14ac:dyDescent="0.35">
      <c r="A51" t="s">
        <v>173</v>
      </c>
      <c r="B51" s="3">
        <f t="shared" ca="1" si="0"/>
        <v>32486</v>
      </c>
      <c r="C51" s="3">
        <f t="shared" ca="1" si="0"/>
        <v>30329</v>
      </c>
      <c r="D51" s="3">
        <f t="shared" ca="1" si="0"/>
        <v>14871</v>
      </c>
      <c r="E51" t="s">
        <v>244</v>
      </c>
      <c r="F51" t="s">
        <v>163</v>
      </c>
    </row>
    <row r="52" spans="1:6" x14ac:dyDescent="0.35">
      <c r="A52" t="s">
        <v>174</v>
      </c>
      <c r="B52" s="3">
        <f t="shared" ca="1" si="0"/>
        <v>10909</v>
      </c>
      <c r="C52" s="3">
        <f t="shared" ca="1" si="0"/>
        <v>31966</v>
      </c>
      <c r="D52" s="3">
        <f t="shared" ca="1" si="0"/>
        <v>27287</v>
      </c>
      <c r="E52" t="s">
        <v>244</v>
      </c>
      <c r="F52" t="s">
        <v>163</v>
      </c>
    </row>
    <row r="53" spans="1:6" x14ac:dyDescent="0.35">
      <c r="A53" t="s">
        <v>175</v>
      </c>
      <c r="B53" s="3">
        <f t="shared" ca="1" si="0"/>
        <v>8978</v>
      </c>
      <c r="C53" s="3">
        <f t="shared" ca="1" si="0"/>
        <v>35247</v>
      </c>
      <c r="D53" s="3">
        <f t="shared" ca="1" si="0"/>
        <v>26100</v>
      </c>
      <c r="E53" t="s">
        <v>244</v>
      </c>
      <c r="F53" t="s">
        <v>163</v>
      </c>
    </row>
    <row r="54" spans="1:6" x14ac:dyDescent="0.35">
      <c r="A54" t="s">
        <v>176</v>
      </c>
      <c r="B54" s="3">
        <f t="shared" ca="1" si="0"/>
        <v>12420</v>
      </c>
      <c r="C54" s="3">
        <f t="shared" ca="1" si="0"/>
        <v>3860</v>
      </c>
      <c r="D54" s="3">
        <f t="shared" ca="1" si="0"/>
        <v>17506</v>
      </c>
      <c r="E54" t="s">
        <v>244</v>
      </c>
      <c r="F54" t="s">
        <v>163</v>
      </c>
    </row>
    <row r="55" spans="1:6" x14ac:dyDescent="0.35">
      <c r="A55" t="s">
        <v>177</v>
      </c>
      <c r="B55" s="3">
        <f t="shared" ca="1" si="0"/>
        <v>18306</v>
      </c>
      <c r="C55" s="3">
        <f t="shared" ca="1" si="0"/>
        <v>396</v>
      </c>
      <c r="D55" s="3">
        <f t="shared" ca="1" si="0"/>
        <v>23541</v>
      </c>
      <c r="E55" t="s">
        <v>244</v>
      </c>
      <c r="F55" t="s">
        <v>163</v>
      </c>
    </row>
    <row r="56" spans="1:6" x14ac:dyDescent="0.35">
      <c r="A56" t="s">
        <v>162</v>
      </c>
      <c r="B56" s="3">
        <f t="shared" ca="1" si="0"/>
        <v>35206</v>
      </c>
      <c r="C56" s="3">
        <f t="shared" ca="1" si="0"/>
        <v>36119</v>
      </c>
      <c r="D56" s="3">
        <f t="shared" ca="1" si="0"/>
        <v>9068</v>
      </c>
      <c r="E56" t="s">
        <v>244</v>
      </c>
      <c r="F56" t="s">
        <v>164</v>
      </c>
    </row>
    <row r="57" spans="1:6" x14ac:dyDescent="0.35">
      <c r="A57" t="s">
        <v>165</v>
      </c>
      <c r="B57" s="3">
        <f t="shared" ca="1" si="0"/>
        <v>30363</v>
      </c>
      <c r="C57" s="3">
        <f t="shared" ca="1" si="0"/>
        <v>15492</v>
      </c>
      <c r="D57" s="3">
        <f t="shared" ca="1" si="0"/>
        <v>7849</v>
      </c>
      <c r="E57" t="s">
        <v>244</v>
      </c>
      <c r="F57" t="s">
        <v>164</v>
      </c>
    </row>
    <row r="58" spans="1:6" x14ac:dyDescent="0.35">
      <c r="A58" t="s">
        <v>166</v>
      </c>
      <c r="B58" s="3">
        <f t="shared" ca="1" si="0"/>
        <v>35516</v>
      </c>
      <c r="C58" s="3">
        <f t="shared" ca="1" si="0"/>
        <v>28275</v>
      </c>
      <c r="D58" s="3">
        <f t="shared" ca="1" si="0"/>
        <v>7959</v>
      </c>
      <c r="E58" t="s">
        <v>244</v>
      </c>
      <c r="F58" t="s">
        <v>164</v>
      </c>
    </row>
    <row r="59" spans="1:6" x14ac:dyDescent="0.35">
      <c r="A59" t="s">
        <v>167</v>
      </c>
      <c r="B59" s="3">
        <f t="shared" ca="1" si="0"/>
        <v>2077</v>
      </c>
      <c r="C59" s="3">
        <f t="shared" ca="1" si="0"/>
        <v>33816</v>
      </c>
      <c r="D59" s="3">
        <f t="shared" ca="1" si="0"/>
        <v>3093</v>
      </c>
      <c r="E59" t="s">
        <v>244</v>
      </c>
      <c r="F59" t="s">
        <v>164</v>
      </c>
    </row>
    <row r="60" spans="1:6" x14ac:dyDescent="0.35">
      <c r="A60" t="s">
        <v>168</v>
      </c>
      <c r="B60" s="3">
        <f t="shared" ca="1" si="0"/>
        <v>6186</v>
      </c>
      <c r="C60" s="3">
        <f t="shared" ca="1" si="0"/>
        <v>7968</v>
      </c>
      <c r="D60" s="3">
        <f t="shared" ca="1" si="0"/>
        <v>23202</v>
      </c>
      <c r="E60" t="s">
        <v>244</v>
      </c>
      <c r="F60" t="s">
        <v>164</v>
      </c>
    </row>
    <row r="61" spans="1:6" x14ac:dyDescent="0.35">
      <c r="A61" t="s">
        <v>169</v>
      </c>
      <c r="B61" s="3">
        <f t="shared" ca="1" si="0"/>
        <v>19525</v>
      </c>
      <c r="C61" s="3">
        <f t="shared" ca="1" si="0"/>
        <v>16004</v>
      </c>
      <c r="D61" s="3">
        <f t="shared" ca="1" si="0"/>
        <v>35883</v>
      </c>
      <c r="E61" t="s">
        <v>244</v>
      </c>
      <c r="F61" t="s">
        <v>164</v>
      </c>
    </row>
    <row r="62" spans="1:6" x14ac:dyDescent="0.35">
      <c r="A62" t="s">
        <v>170</v>
      </c>
      <c r="B62" s="3">
        <f t="shared" ca="1" si="0"/>
        <v>14603</v>
      </c>
      <c r="C62" s="3">
        <f t="shared" ca="1" si="0"/>
        <v>25419</v>
      </c>
      <c r="D62" s="3">
        <f t="shared" ca="1" si="0"/>
        <v>35878</v>
      </c>
      <c r="E62" t="s">
        <v>244</v>
      </c>
      <c r="F62" t="s">
        <v>164</v>
      </c>
    </row>
    <row r="63" spans="1:6" x14ac:dyDescent="0.35">
      <c r="A63" t="s">
        <v>171</v>
      </c>
      <c r="B63" s="3">
        <f t="shared" ca="1" si="0"/>
        <v>30668</v>
      </c>
      <c r="C63" s="3">
        <f t="shared" ca="1" si="0"/>
        <v>31413</v>
      </c>
      <c r="D63" s="3">
        <f t="shared" ca="1" si="0"/>
        <v>6697</v>
      </c>
      <c r="E63" t="s">
        <v>244</v>
      </c>
      <c r="F63" t="s">
        <v>164</v>
      </c>
    </row>
    <row r="64" spans="1:6" x14ac:dyDescent="0.35">
      <c r="A64" t="s">
        <v>172</v>
      </c>
      <c r="B64" s="3">
        <f t="shared" ca="1" si="0"/>
        <v>15489</v>
      </c>
      <c r="C64" s="3">
        <f t="shared" ca="1" si="0"/>
        <v>19131</v>
      </c>
      <c r="D64" s="3">
        <f t="shared" ca="1" si="0"/>
        <v>4191</v>
      </c>
      <c r="E64" t="s">
        <v>244</v>
      </c>
      <c r="F64" t="s">
        <v>164</v>
      </c>
    </row>
    <row r="65" spans="1:6" x14ac:dyDescent="0.35">
      <c r="A65" t="s">
        <v>173</v>
      </c>
      <c r="B65" s="3">
        <f t="shared" ca="1" si="0"/>
        <v>35641</v>
      </c>
      <c r="C65" s="3">
        <f t="shared" ca="1" si="0"/>
        <v>3114</v>
      </c>
      <c r="D65" s="3">
        <f t="shared" ca="1" si="0"/>
        <v>20188</v>
      </c>
      <c r="E65" t="s">
        <v>244</v>
      </c>
      <c r="F65" t="s">
        <v>164</v>
      </c>
    </row>
    <row r="66" spans="1:6" x14ac:dyDescent="0.35">
      <c r="A66" t="s">
        <v>174</v>
      </c>
      <c r="B66" s="3">
        <f t="shared" ca="1" si="0"/>
        <v>32425</v>
      </c>
      <c r="C66" s="3">
        <f t="shared" ca="1" si="0"/>
        <v>24847</v>
      </c>
      <c r="D66" s="3">
        <f t="shared" ca="1" si="0"/>
        <v>24852</v>
      </c>
      <c r="E66" t="s">
        <v>244</v>
      </c>
      <c r="F66" t="s">
        <v>164</v>
      </c>
    </row>
    <row r="67" spans="1:6" x14ac:dyDescent="0.35">
      <c r="A67" t="s">
        <v>175</v>
      </c>
      <c r="B67" s="3">
        <f t="shared" ref="B67:D69" ca="1" si="1">RANDBETWEEN(0,40000)</f>
        <v>34019</v>
      </c>
      <c r="C67" s="3">
        <f t="shared" ca="1" si="1"/>
        <v>25403</v>
      </c>
      <c r="D67" s="3">
        <f t="shared" ca="1" si="1"/>
        <v>4245</v>
      </c>
      <c r="E67" t="s">
        <v>244</v>
      </c>
      <c r="F67" t="s">
        <v>164</v>
      </c>
    </row>
    <row r="68" spans="1:6" x14ac:dyDescent="0.35">
      <c r="A68" t="s">
        <v>176</v>
      </c>
      <c r="B68" s="3">
        <f t="shared" ca="1" si="1"/>
        <v>11174</v>
      </c>
      <c r="C68" s="3">
        <f t="shared" ca="1" si="1"/>
        <v>33622</v>
      </c>
      <c r="D68" s="3">
        <f t="shared" ca="1" si="1"/>
        <v>23994</v>
      </c>
      <c r="E68" t="s">
        <v>244</v>
      </c>
      <c r="F68" t="s">
        <v>164</v>
      </c>
    </row>
    <row r="69" spans="1:6" x14ac:dyDescent="0.35">
      <c r="A69" t="s">
        <v>177</v>
      </c>
      <c r="B69" s="3">
        <f t="shared" ca="1" si="1"/>
        <v>378</v>
      </c>
      <c r="C69" s="3">
        <f t="shared" ca="1" si="1"/>
        <v>39242</v>
      </c>
      <c r="D69" s="3">
        <f t="shared" ca="1" si="1"/>
        <v>1549</v>
      </c>
      <c r="E69" t="s">
        <v>244</v>
      </c>
      <c r="F69" t="s">
        <v>164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73CC6-39CD-48C8-9EFE-EF77B0CD33BE}">
  <dimension ref="A1:F40"/>
  <sheetViews>
    <sheetView tabSelected="1" workbookViewId="0"/>
  </sheetViews>
  <sheetFormatPr defaultRowHeight="14.5" x14ac:dyDescent="0.35"/>
  <cols>
    <col min="1" max="1" width="54.81640625" bestFit="1" customWidth="1"/>
    <col min="2" max="4" width="6.36328125" style="3" bestFit="1" customWidth="1"/>
    <col min="5" max="5" width="10.36328125" bestFit="1" customWidth="1"/>
  </cols>
  <sheetData>
    <row r="1" spans="1:6" x14ac:dyDescent="0.35">
      <c r="A1" t="s">
        <v>235</v>
      </c>
      <c r="B1" s="3" t="s">
        <v>122</v>
      </c>
      <c r="C1" s="3" t="s">
        <v>123</v>
      </c>
      <c r="D1" s="3" t="s">
        <v>124</v>
      </c>
      <c r="E1" t="s">
        <v>234</v>
      </c>
      <c r="F1" s="3"/>
    </row>
    <row r="2" spans="1:6" x14ac:dyDescent="0.35">
      <c r="A2" t="s">
        <v>191</v>
      </c>
      <c r="B2" s="3">
        <f ca="1">RANDBETWEEN(0,300)</f>
        <v>240</v>
      </c>
      <c r="C2" s="3">
        <f ca="1">RANDBETWEEN(0,300)</f>
        <v>47</v>
      </c>
      <c r="D2" s="3">
        <f ca="1">RANDBETWEEN(0,300)</f>
        <v>161</v>
      </c>
      <c r="E2" t="s">
        <v>244</v>
      </c>
    </row>
    <row r="3" spans="1:6" x14ac:dyDescent="0.35">
      <c r="A3" t="s">
        <v>192</v>
      </c>
      <c r="B3" s="3">
        <f ca="1">RANDBETWEEN(0,300)</f>
        <v>82</v>
      </c>
      <c r="C3" s="3">
        <f ca="1">RANDBETWEEN(0,300)</f>
        <v>174</v>
      </c>
      <c r="D3" s="3">
        <f ca="1">RANDBETWEEN(0,300)</f>
        <v>260</v>
      </c>
      <c r="E3" t="s">
        <v>244</v>
      </c>
    </row>
    <row r="4" spans="1:6" x14ac:dyDescent="0.35">
      <c r="A4" t="s">
        <v>206</v>
      </c>
      <c r="B4" s="3">
        <f ca="1">RANDBETWEEN(0,300)</f>
        <v>36</v>
      </c>
      <c r="C4" s="3">
        <f ca="1">RANDBETWEEN(0,300)</f>
        <v>4</v>
      </c>
      <c r="D4" s="3">
        <f ca="1">RANDBETWEEN(0,300)</f>
        <v>290</v>
      </c>
      <c r="E4" t="s">
        <v>244</v>
      </c>
    </row>
    <row r="5" spans="1:6" x14ac:dyDescent="0.35">
      <c r="A5" t="s">
        <v>193</v>
      </c>
      <c r="B5" s="3">
        <f ca="1">RANDBETWEEN(0,300)</f>
        <v>250</v>
      </c>
      <c r="C5" s="3">
        <f ca="1">RANDBETWEEN(0,300)</f>
        <v>229</v>
      </c>
      <c r="D5" s="3">
        <f ca="1">RANDBETWEEN(0,300)</f>
        <v>257</v>
      </c>
      <c r="E5" t="s">
        <v>244</v>
      </c>
    </row>
    <row r="6" spans="1:6" x14ac:dyDescent="0.35">
      <c r="A6" t="s">
        <v>140</v>
      </c>
      <c r="B6" s="3">
        <f ca="1">RANDBETWEEN(0,300)</f>
        <v>213</v>
      </c>
      <c r="C6" s="3">
        <f ca="1">RANDBETWEEN(0,300)</f>
        <v>17</v>
      </c>
      <c r="D6" s="3">
        <f ca="1">RANDBETWEEN(0,300)</f>
        <v>263</v>
      </c>
      <c r="E6" t="s">
        <v>226</v>
      </c>
    </row>
    <row r="7" spans="1:6" x14ac:dyDescent="0.35">
      <c r="A7" t="s">
        <v>153</v>
      </c>
      <c r="B7" s="3">
        <f ca="1">RANDBETWEEN(0,300)</f>
        <v>265</v>
      </c>
      <c r="C7" s="3">
        <f ca="1">RANDBETWEEN(0,300)</f>
        <v>167</v>
      </c>
      <c r="D7" s="3">
        <f ca="1">RANDBETWEEN(0,300)</f>
        <v>198</v>
      </c>
      <c r="E7" t="s">
        <v>244</v>
      </c>
    </row>
    <row r="8" spans="1:6" x14ac:dyDescent="0.35">
      <c r="A8" t="s">
        <v>141</v>
      </c>
      <c r="B8" s="3">
        <f ca="1">RANDBETWEEN(0,300)</f>
        <v>223</v>
      </c>
      <c r="C8" s="3">
        <f ca="1">RANDBETWEEN(0,300)</f>
        <v>93</v>
      </c>
      <c r="D8" s="3">
        <f ca="1">RANDBETWEEN(0,300)</f>
        <v>70</v>
      </c>
      <c r="E8" t="s">
        <v>226</v>
      </c>
    </row>
    <row r="9" spans="1:6" x14ac:dyDescent="0.35">
      <c r="A9" t="s">
        <v>194</v>
      </c>
      <c r="B9" s="3">
        <f ca="1">RANDBETWEEN(0,300)</f>
        <v>300</v>
      </c>
      <c r="C9" s="3">
        <f ca="1">RANDBETWEEN(0,300)</f>
        <v>199</v>
      </c>
      <c r="D9" s="3">
        <f ca="1">RANDBETWEEN(0,300)</f>
        <v>92</v>
      </c>
      <c r="E9" t="s">
        <v>244</v>
      </c>
    </row>
    <row r="10" spans="1:6" x14ac:dyDescent="0.35">
      <c r="A10" t="s">
        <v>207</v>
      </c>
      <c r="B10" s="3">
        <f ca="1">RANDBETWEEN(0,300)</f>
        <v>149</v>
      </c>
      <c r="C10" s="3">
        <f ca="1">RANDBETWEEN(0,300)</f>
        <v>155</v>
      </c>
      <c r="D10" s="3">
        <f ca="1">RANDBETWEEN(0,300)</f>
        <v>269</v>
      </c>
      <c r="E10" t="s">
        <v>244</v>
      </c>
    </row>
    <row r="11" spans="1:6" x14ac:dyDescent="0.35">
      <c r="A11" t="s">
        <v>208</v>
      </c>
      <c r="B11" s="3">
        <f ca="1">RANDBETWEEN(0,300)</f>
        <v>268</v>
      </c>
      <c r="C11" s="3">
        <f ca="1">RANDBETWEEN(0,300)</f>
        <v>219</v>
      </c>
      <c r="D11" s="3">
        <f ca="1">RANDBETWEEN(0,300)</f>
        <v>69</v>
      </c>
      <c r="E11" t="s">
        <v>244</v>
      </c>
    </row>
    <row r="12" spans="1:6" x14ac:dyDescent="0.35">
      <c r="A12" t="s">
        <v>154</v>
      </c>
      <c r="B12" s="3">
        <f ca="1">RANDBETWEEN(0,300)</f>
        <v>299</v>
      </c>
      <c r="C12" s="3">
        <f ca="1">RANDBETWEEN(0,300)</f>
        <v>78</v>
      </c>
      <c r="D12" s="3">
        <f ca="1">RANDBETWEEN(0,300)</f>
        <v>116</v>
      </c>
      <c r="E12" t="s">
        <v>244</v>
      </c>
    </row>
    <row r="13" spans="1:6" x14ac:dyDescent="0.35">
      <c r="A13" t="s">
        <v>178</v>
      </c>
      <c r="B13" s="3">
        <f ca="1">RANDBETWEEN(0,300)</f>
        <v>125</v>
      </c>
      <c r="C13" s="3">
        <f ca="1">RANDBETWEEN(0,300)</f>
        <v>167</v>
      </c>
      <c r="D13" s="3">
        <f ca="1">RANDBETWEEN(0,300)</f>
        <v>258</v>
      </c>
      <c r="E13" t="s">
        <v>244</v>
      </c>
    </row>
    <row r="14" spans="1:6" x14ac:dyDescent="0.35">
      <c r="A14" t="s">
        <v>209</v>
      </c>
      <c r="B14" s="3">
        <f ca="1">RANDBETWEEN(0,300)</f>
        <v>17</v>
      </c>
      <c r="C14" s="3">
        <f ca="1">RANDBETWEEN(0,300)</f>
        <v>250</v>
      </c>
      <c r="D14" s="3">
        <f ca="1">RANDBETWEEN(0,300)</f>
        <v>119</v>
      </c>
      <c r="E14" t="s">
        <v>244</v>
      </c>
    </row>
    <row r="15" spans="1:6" x14ac:dyDescent="0.35">
      <c r="A15" t="s">
        <v>142</v>
      </c>
      <c r="B15" s="3">
        <f ca="1">RANDBETWEEN(0,300)</f>
        <v>172</v>
      </c>
      <c r="C15" s="3">
        <f ca="1">RANDBETWEEN(0,300)</f>
        <v>118</v>
      </c>
      <c r="D15" s="3">
        <f ca="1">RANDBETWEEN(0,300)</f>
        <v>142</v>
      </c>
      <c r="E15" t="s">
        <v>226</v>
      </c>
    </row>
    <row r="16" spans="1:6" x14ac:dyDescent="0.35">
      <c r="A16" t="s">
        <v>143</v>
      </c>
      <c r="B16" s="3">
        <f ca="1">RANDBETWEEN(0,300)</f>
        <v>277</v>
      </c>
      <c r="C16" s="3">
        <f ca="1">RANDBETWEEN(0,300)</f>
        <v>110</v>
      </c>
      <c r="D16" s="3">
        <f ca="1">RANDBETWEEN(0,300)</f>
        <v>258</v>
      </c>
      <c r="E16" t="s">
        <v>226</v>
      </c>
    </row>
    <row r="17" spans="1:5" x14ac:dyDescent="0.35">
      <c r="A17" t="s">
        <v>155</v>
      </c>
      <c r="B17" s="3">
        <f ca="1">RANDBETWEEN(0,300)</f>
        <v>225</v>
      </c>
      <c r="C17" s="3">
        <f ca="1">RANDBETWEEN(0,300)</f>
        <v>275</v>
      </c>
      <c r="D17" s="3">
        <f ca="1">RANDBETWEEN(0,300)</f>
        <v>276</v>
      </c>
      <c r="E17" t="s">
        <v>244</v>
      </c>
    </row>
    <row r="18" spans="1:5" x14ac:dyDescent="0.35">
      <c r="A18" t="s">
        <v>156</v>
      </c>
      <c r="B18" s="3">
        <f ca="1">RANDBETWEEN(0,300)</f>
        <v>87</v>
      </c>
      <c r="C18" s="3">
        <f ca="1">RANDBETWEEN(0,300)</f>
        <v>295</v>
      </c>
      <c r="D18" s="3">
        <f ca="1">RANDBETWEEN(0,300)</f>
        <v>247</v>
      </c>
      <c r="E18" t="s">
        <v>244</v>
      </c>
    </row>
    <row r="19" spans="1:5" x14ac:dyDescent="0.35">
      <c r="A19" t="s">
        <v>157</v>
      </c>
      <c r="B19" s="3">
        <f ca="1">RANDBETWEEN(0,300)</f>
        <v>88</v>
      </c>
      <c r="C19" s="3">
        <f ca="1">RANDBETWEEN(0,300)</f>
        <v>52</v>
      </c>
      <c r="D19" s="3">
        <f ca="1">RANDBETWEEN(0,300)</f>
        <v>170</v>
      </c>
      <c r="E19" t="s">
        <v>244</v>
      </c>
    </row>
    <row r="20" spans="1:5" x14ac:dyDescent="0.35">
      <c r="A20" t="s">
        <v>130</v>
      </c>
      <c r="B20" s="3">
        <f ca="1">RANDBETWEEN(0,300)</f>
        <v>41</v>
      </c>
      <c r="C20" s="3">
        <f ca="1">RANDBETWEEN(0,300)</f>
        <v>102</v>
      </c>
      <c r="D20" s="3">
        <f ca="1">RANDBETWEEN(0,300)</f>
        <v>152</v>
      </c>
      <c r="E20" t="s">
        <v>225</v>
      </c>
    </row>
    <row r="21" spans="1:5" x14ac:dyDescent="0.35">
      <c r="A21" t="s">
        <v>131</v>
      </c>
      <c r="B21" s="3">
        <f ca="1">RANDBETWEEN(0,300)</f>
        <v>75</v>
      </c>
      <c r="C21" s="3">
        <f ca="1">RANDBETWEEN(0,300)</f>
        <v>168</v>
      </c>
      <c r="D21" s="3">
        <f ca="1">RANDBETWEEN(0,300)</f>
        <v>293</v>
      </c>
      <c r="E21" t="s">
        <v>225</v>
      </c>
    </row>
    <row r="22" spans="1:5" x14ac:dyDescent="0.35">
      <c r="A22" t="s">
        <v>158</v>
      </c>
      <c r="B22" s="3">
        <f ca="1">RANDBETWEEN(0,300)</f>
        <v>122</v>
      </c>
      <c r="C22" s="3">
        <f ca="1">RANDBETWEEN(0,300)</f>
        <v>56</v>
      </c>
      <c r="D22" s="3">
        <f ca="1">RANDBETWEEN(0,300)</f>
        <v>166</v>
      </c>
      <c r="E22" t="s">
        <v>244</v>
      </c>
    </row>
    <row r="23" spans="1:5" x14ac:dyDescent="0.35">
      <c r="A23" t="s">
        <v>210</v>
      </c>
      <c r="B23" s="3">
        <f ca="1">RANDBETWEEN(0,300)</f>
        <v>211</v>
      </c>
      <c r="C23" s="3">
        <f ca="1">RANDBETWEEN(0,300)</f>
        <v>189</v>
      </c>
      <c r="D23" s="3">
        <f ca="1">RANDBETWEEN(0,300)</f>
        <v>79</v>
      </c>
      <c r="E23" t="s">
        <v>244</v>
      </c>
    </row>
    <row r="24" spans="1:5" x14ac:dyDescent="0.35">
      <c r="A24" t="s">
        <v>179</v>
      </c>
      <c r="B24" s="3">
        <f ca="1">RANDBETWEEN(0,300)</f>
        <v>85</v>
      </c>
      <c r="C24" s="3">
        <f ca="1">RANDBETWEEN(0,300)</f>
        <v>68</v>
      </c>
      <c r="D24" s="3">
        <f ca="1">RANDBETWEEN(0,300)</f>
        <v>23</v>
      </c>
      <c r="E24" t="s">
        <v>244</v>
      </c>
    </row>
    <row r="25" spans="1:5" x14ac:dyDescent="0.35">
      <c r="A25" t="s">
        <v>180</v>
      </c>
      <c r="B25" s="3">
        <f ca="1">RANDBETWEEN(0,300)</f>
        <v>237</v>
      </c>
      <c r="C25" s="3">
        <f ca="1">RANDBETWEEN(0,300)</f>
        <v>259</v>
      </c>
      <c r="D25" s="3">
        <f ca="1">RANDBETWEEN(0,300)</f>
        <v>224</v>
      </c>
      <c r="E25" t="s">
        <v>244</v>
      </c>
    </row>
    <row r="26" spans="1:5" x14ac:dyDescent="0.35">
      <c r="A26" t="s">
        <v>181</v>
      </c>
      <c r="B26" s="3">
        <f ca="1">RANDBETWEEN(0,300)</f>
        <v>139</v>
      </c>
      <c r="C26" s="3">
        <f ca="1">RANDBETWEEN(0,300)</f>
        <v>153</v>
      </c>
      <c r="D26" s="3">
        <f ca="1">RANDBETWEEN(0,300)</f>
        <v>69</v>
      </c>
      <c r="E26" t="s">
        <v>244</v>
      </c>
    </row>
    <row r="27" spans="1:5" x14ac:dyDescent="0.35">
      <c r="A27" t="s">
        <v>182</v>
      </c>
      <c r="B27" s="3">
        <f ca="1">RANDBETWEEN(0,300)</f>
        <v>170</v>
      </c>
      <c r="C27" s="3">
        <f ca="1">RANDBETWEEN(0,300)</f>
        <v>294</v>
      </c>
      <c r="D27" s="3">
        <f ca="1">RANDBETWEEN(0,300)</f>
        <v>4</v>
      </c>
      <c r="E27" t="s">
        <v>244</v>
      </c>
    </row>
    <row r="28" spans="1:5" x14ac:dyDescent="0.35">
      <c r="A28" t="s">
        <v>183</v>
      </c>
      <c r="B28" s="3">
        <f ca="1">RANDBETWEEN(0,300)</f>
        <v>180</v>
      </c>
      <c r="C28" s="3">
        <f ca="1">RANDBETWEEN(0,300)</f>
        <v>99</v>
      </c>
      <c r="D28" s="3">
        <f ca="1">RANDBETWEEN(0,300)</f>
        <v>182</v>
      </c>
      <c r="E28" t="s">
        <v>244</v>
      </c>
    </row>
    <row r="29" spans="1:5" x14ac:dyDescent="0.35">
      <c r="A29" t="s">
        <v>132</v>
      </c>
      <c r="B29" s="3">
        <f ca="1">RANDBETWEEN(0,300)</f>
        <v>95</v>
      </c>
      <c r="C29" s="3">
        <f ca="1">RANDBETWEEN(0,300)</f>
        <v>28</v>
      </c>
      <c r="D29" s="3">
        <f ca="1">RANDBETWEEN(0,300)</f>
        <v>117</v>
      </c>
      <c r="E29" t="s">
        <v>225</v>
      </c>
    </row>
    <row r="30" spans="1:5" x14ac:dyDescent="0.35">
      <c r="A30" t="s">
        <v>133</v>
      </c>
      <c r="B30" s="3">
        <f ca="1">RANDBETWEEN(0,300)</f>
        <v>244</v>
      </c>
      <c r="C30" s="3">
        <f ca="1">RANDBETWEEN(0,300)</f>
        <v>7</v>
      </c>
      <c r="D30" s="3">
        <f ca="1">RANDBETWEEN(0,300)</f>
        <v>14</v>
      </c>
      <c r="E30" t="s">
        <v>225</v>
      </c>
    </row>
    <row r="31" spans="1:5" x14ac:dyDescent="0.35">
      <c r="A31" t="s">
        <v>195</v>
      </c>
      <c r="B31" s="3">
        <f ca="1">RANDBETWEEN(0,300)</f>
        <v>56</v>
      </c>
      <c r="C31" s="3">
        <f ca="1">RANDBETWEEN(0,300)</f>
        <v>286</v>
      </c>
      <c r="D31" s="3">
        <f ca="1">RANDBETWEEN(0,300)</f>
        <v>17</v>
      </c>
      <c r="E31" t="s">
        <v>244</v>
      </c>
    </row>
    <row r="32" spans="1:5" x14ac:dyDescent="0.35">
      <c r="A32" t="s">
        <v>211</v>
      </c>
      <c r="B32" s="3">
        <f ca="1">RANDBETWEEN(0,300)</f>
        <v>52</v>
      </c>
      <c r="C32" s="3">
        <f ca="1">RANDBETWEEN(0,300)</f>
        <v>168</v>
      </c>
      <c r="D32" s="3">
        <f ca="1">RANDBETWEEN(0,300)</f>
        <v>240</v>
      </c>
      <c r="E32" t="s">
        <v>244</v>
      </c>
    </row>
    <row r="33" spans="1:5" x14ac:dyDescent="0.35">
      <c r="A33" t="s">
        <v>212</v>
      </c>
      <c r="B33" s="3">
        <f ca="1">RANDBETWEEN(0,300)</f>
        <v>63</v>
      </c>
      <c r="C33" s="3">
        <f ca="1">RANDBETWEEN(0,300)</f>
        <v>223</v>
      </c>
      <c r="D33" s="3">
        <f ca="1">RANDBETWEEN(0,300)</f>
        <v>261</v>
      </c>
      <c r="E33" t="s">
        <v>244</v>
      </c>
    </row>
    <row r="34" spans="1:5" x14ac:dyDescent="0.35">
      <c r="A34" t="s">
        <v>196</v>
      </c>
      <c r="B34" s="3">
        <f ca="1">RANDBETWEEN(0,300)</f>
        <v>141</v>
      </c>
      <c r="C34" s="3">
        <f ca="1">RANDBETWEEN(0,300)</f>
        <v>120</v>
      </c>
      <c r="D34" s="3">
        <f ca="1">RANDBETWEEN(0,300)</f>
        <v>151</v>
      </c>
      <c r="E34" t="s">
        <v>244</v>
      </c>
    </row>
    <row r="35" spans="1:5" x14ac:dyDescent="0.35">
      <c r="A35" t="s">
        <v>197</v>
      </c>
      <c r="B35" s="3">
        <f ca="1">RANDBETWEEN(0,300)</f>
        <v>24</v>
      </c>
      <c r="C35" s="3">
        <f ca="1">RANDBETWEEN(0,300)</f>
        <v>152</v>
      </c>
      <c r="D35" s="3">
        <f ca="1">RANDBETWEEN(0,300)</f>
        <v>196</v>
      </c>
      <c r="E35" t="s">
        <v>244</v>
      </c>
    </row>
    <row r="36" spans="1:5" x14ac:dyDescent="0.35">
      <c r="A36" t="s">
        <v>159</v>
      </c>
      <c r="B36" s="3">
        <f ca="1">RANDBETWEEN(0,300)</f>
        <v>251</v>
      </c>
      <c r="C36" s="3">
        <f ca="1">RANDBETWEEN(0,300)</f>
        <v>231</v>
      </c>
      <c r="D36" s="3">
        <f ca="1">RANDBETWEEN(0,300)</f>
        <v>300</v>
      </c>
      <c r="E36" t="s">
        <v>244</v>
      </c>
    </row>
    <row r="37" spans="1:5" x14ac:dyDescent="0.35">
      <c r="A37" t="s">
        <v>213</v>
      </c>
      <c r="B37" s="3">
        <f ca="1">RANDBETWEEN(0,300)</f>
        <v>63</v>
      </c>
      <c r="C37" s="3">
        <f ca="1">RANDBETWEEN(0,300)</f>
        <v>235</v>
      </c>
      <c r="D37" s="3">
        <f ca="1">RANDBETWEEN(0,300)</f>
        <v>175</v>
      </c>
      <c r="E37" t="s">
        <v>244</v>
      </c>
    </row>
    <row r="38" spans="1:5" x14ac:dyDescent="0.35">
      <c r="A38" t="s">
        <v>160</v>
      </c>
      <c r="B38" s="3">
        <f ca="1">RANDBETWEEN(0,300)</f>
        <v>113</v>
      </c>
      <c r="C38" s="3">
        <f ca="1">RANDBETWEEN(0,300)</f>
        <v>194</v>
      </c>
      <c r="D38" s="3">
        <f ca="1">RANDBETWEEN(0,300)</f>
        <v>137</v>
      </c>
      <c r="E38" t="s">
        <v>244</v>
      </c>
    </row>
    <row r="39" spans="1:5" x14ac:dyDescent="0.35">
      <c r="A39" t="s">
        <v>144</v>
      </c>
      <c r="B39" s="3">
        <f ca="1">RANDBETWEEN(0,300)</f>
        <v>194</v>
      </c>
      <c r="C39" s="3">
        <f ca="1">RANDBETWEEN(0,300)</f>
        <v>95</v>
      </c>
      <c r="D39" s="3">
        <f ca="1">RANDBETWEEN(0,300)</f>
        <v>148</v>
      </c>
      <c r="E39" t="s">
        <v>226</v>
      </c>
    </row>
    <row r="40" spans="1:5" x14ac:dyDescent="0.35">
      <c r="A40" t="s">
        <v>145</v>
      </c>
      <c r="B40" s="3">
        <f ca="1">RANDBETWEEN(0,300)</f>
        <v>243</v>
      </c>
      <c r="C40" s="3">
        <f ca="1">RANDBETWEEN(0,300)</f>
        <v>214</v>
      </c>
      <c r="D40" s="3">
        <f ca="1">RANDBETWEEN(0,300)</f>
        <v>202</v>
      </c>
      <c r="E40" t="s">
        <v>226</v>
      </c>
    </row>
  </sheetData>
  <sortState xmlns:xlrd2="http://schemas.microsoft.com/office/spreadsheetml/2017/richdata2" ref="A2:E40">
    <sortCondition ref="A2:A4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 sheet</vt:lpstr>
      <vt:lpstr>metadata</vt:lpstr>
      <vt:lpstr>assumptions</vt:lpstr>
      <vt:lpstr>baseline_year_activity_counts</vt:lpstr>
      <vt:lpstr>predicted_activity_volumes</vt:lpstr>
      <vt:lpstr>estimated_capacity_needs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Claire Welsh (Strategy Unit, hosted by ML)</cp:lastModifiedBy>
  <dcterms:created xsi:type="dcterms:W3CDTF">2026-08-25T11:27:21Z</dcterms:created>
  <dcterms:modified xsi:type="dcterms:W3CDTF">2026-08-27T13:25:31Z</dcterms:modified>
</cp:coreProperties>
</file>